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K Disco D\MarceloBeguiristain\Desarrollo de Siniestros\COMUNICACION al 30062025\"/>
    </mc:Choice>
  </mc:AlternateContent>
  <bookViews>
    <workbookView xWindow="0" yWindow="0" windowWidth="24000" windowHeight="9615" tabRatio="779"/>
  </bookViews>
  <sheets>
    <sheet name="índice" sheetId="42409" r:id="rId1"/>
    <sheet name="Definiciones" sheetId="16" r:id="rId2"/>
    <sheet name="Triangulos Siniestrales" sheetId="42418" r:id="rId3"/>
    <sheet name="2024 - 2025" sheetId="42422" r:id="rId4"/>
    <sheet name="2023 - 2024" sheetId="42421" r:id="rId5"/>
    <sheet name="2022 - 2023" sheetId="42420" r:id="rId6"/>
    <sheet name="2021 - 2022" sheetId="42419" r:id="rId7"/>
    <sheet name="2020 - 2021" sheetId="42417" r:id="rId8"/>
  </sheets>
  <definedNames>
    <definedName name="_xlnm._FilterDatabase" localSheetId="7" hidden="1">'2020 - 2021'!$A$6:$H$59</definedName>
    <definedName name="_xlnm._FilterDatabase" localSheetId="6" hidden="1">'2021 - 2022'!$A$6:$H$59</definedName>
    <definedName name="_xlnm._FilterDatabase" localSheetId="5" hidden="1">'2022 - 2023'!$A$6:$H$59</definedName>
    <definedName name="_xlnm._FilterDatabase" localSheetId="4" hidden="1">'2023 - 2024'!$A$6:$H$59</definedName>
    <definedName name="_xlnm._FilterDatabase" localSheetId="3" hidden="1">'2024 - 2025'!$A$6:$H$59</definedName>
    <definedName name="_xlnm.Print_Titles" localSheetId="7">'2020 - 2021'!$A:$D,'2020 - 2021'!$1:$6</definedName>
    <definedName name="_xlnm.Print_Titles" localSheetId="6">'2021 - 2022'!$A:$D,'2021 - 2022'!$1:$6</definedName>
    <definedName name="_xlnm.Print_Titles" localSheetId="5">'2022 - 2023'!$A:$D,'2022 - 2023'!$1:$6</definedName>
    <definedName name="_xlnm.Print_Titles" localSheetId="4">'2023 - 2024'!$A:$D,'2023 - 2024'!$1:$6</definedName>
    <definedName name="_xlnm.Print_Titles" localSheetId="3">'2024 - 2025'!$A:$D,'2024 - 2025'!$1:$6</definedName>
    <definedName name="Z_53FDDE27_5C9F_4CB4_9EC1_B330864364A3_.wvu.FilterData" localSheetId="7" hidden="1">'2020 - 2021'!$A$6:$H$59</definedName>
    <definedName name="Z_53FDDE27_5C9F_4CB4_9EC1_B330864364A3_.wvu.FilterData" localSheetId="6" hidden="1">'2021 - 2022'!$A$6:$H$59</definedName>
    <definedName name="Z_53FDDE27_5C9F_4CB4_9EC1_B330864364A3_.wvu.FilterData" localSheetId="5" hidden="1">'2022 - 2023'!$A$6:$H$59</definedName>
    <definedName name="Z_53FDDE27_5C9F_4CB4_9EC1_B330864364A3_.wvu.FilterData" localSheetId="4" hidden="1">'2023 - 2024'!$A$6:$H$59</definedName>
    <definedName name="Z_53FDDE27_5C9F_4CB4_9EC1_B330864364A3_.wvu.FilterData" localSheetId="3" hidden="1">'2024 - 2025'!$A$6:$H$59</definedName>
  </definedNames>
  <calcPr calcId="152511"/>
  <customWorkbookViews>
    <customWorkbookView name="1" guid="{53FDDE27-5C9F-4CB4-9EC1-B330864364A3}" includePrintSettings="0" maximized="1" windowWidth="1276" windowHeight="808" tabRatio="779" activeSheetId="16"/>
  </customWorkbookViews>
</workbook>
</file>

<file path=xl/calcChain.xml><?xml version="1.0" encoding="utf-8"?>
<calcChain xmlns="http://schemas.openxmlformats.org/spreadsheetml/2006/main">
  <c r="H60" i="42422" l="1"/>
  <c r="G60" i="42422"/>
  <c r="F60" i="42422"/>
  <c r="E60" i="42422"/>
  <c r="L60" i="42421"/>
  <c r="K60" i="42421"/>
  <c r="J60" i="42421"/>
  <c r="I60" i="42421"/>
  <c r="H60" i="42421"/>
  <c r="G60" i="42421"/>
  <c r="F60" i="42421"/>
  <c r="E60" i="42421"/>
  <c r="P60" i="42420"/>
  <c r="O60" i="42420"/>
  <c r="N60" i="42420"/>
  <c r="M60" i="42420"/>
  <c r="L60" i="42420"/>
  <c r="K60" i="42420"/>
  <c r="J60" i="42420"/>
  <c r="I60" i="42420"/>
  <c r="H60" i="42420"/>
  <c r="G60" i="42420"/>
  <c r="F60" i="42420"/>
  <c r="E60" i="42420"/>
  <c r="H60" i="42419"/>
  <c r="G60" i="42419"/>
  <c r="F60" i="42419"/>
  <c r="E60" i="42419"/>
  <c r="X60" i="42417"/>
  <c r="W60" i="42417"/>
  <c r="V60" i="42417"/>
  <c r="U60" i="42417"/>
  <c r="T60" i="42417"/>
  <c r="S60" i="42417"/>
  <c r="R60" i="42417"/>
  <c r="Q60" i="42417"/>
  <c r="P60" i="42417"/>
  <c r="O60" i="42417"/>
  <c r="N60" i="42417"/>
  <c r="M60" i="42417"/>
  <c r="L60" i="42417"/>
  <c r="K60" i="42417"/>
  <c r="J60" i="42417"/>
  <c r="I60" i="42417"/>
  <c r="H60" i="42417"/>
  <c r="G60" i="42417"/>
  <c r="F60" i="42417"/>
  <c r="E60" i="42417"/>
  <c r="X20" i="42417"/>
  <c r="W20" i="42417"/>
  <c r="V20" i="42417"/>
  <c r="U20" i="42417"/>
  <c r="T20" i="42417"/>
  <c r="S20" i="42417"/>
  <c r="R20" i="42417"/>
  <c r="Q20" i="42417"/>
  <c r="P20" i="42417"/>
  <c r="O20" i="42417"/>
  <c r="N20" i="42417"/>
  <c r="M20" i="42417"/>
  <c r="L20" i="42417"/>
  <c r="K20" i="42417"/>
  <c r="J20" i="42417"/>
  <c r="I20" i="42417"/>
  <c r="H20" i="42417"/>
  <c r="G20" i="42417"/>
  <c r="F20" i="42417"/>
  <c r="E20" i="42417"/>
  <c r="T20" i="42419"/>
  <c r="S20" i="42419"/>
  <c r="R20" i="42419"/>
  <c r="Q20" i="42419"/>
  <c r="P20" i="42419"/>
  <c r="O20" i="42419"/>
  <c r="N20" i="42419"/>
  <c r="M20" i="42419"/>
  <c r="L20" i="42419"/>
  <c r="K20" i="42419"/>
  <c r="J20" i="42419"/>
  <c r="I20" i="42419"/>
  <c r="H20" i="42419"/>
  <c r="G20" i="42419"/>
  <c r="F20" i="42419"/>
  <c r="E20" i="42419"/>
  <c r="P20" i="42420"/>
  <c r="O20" i="42420"/>
  <c r="N20" i="42420"/>
  <c r="M20" i="42420"/>
  <c r="L20" i="42420"/>
  <c r="K20" i="42420"/>
  <c r="J20" i="42420"/>
  <c r="I20" i="42420"/>
  <c r="H20" i="42420"/>
  <c r="G20" i="42420"/>
  <c r="F20" i="42420"/>
  <c r="E20" i="42420"/>
  <c r="L20" i="42421"/>
  <c r="K20" i="42421"/>
  <c r="J20" i="42421"/>
  <c r="I20" i="42421"/>
  <c r="H20" i="42421"/>
  <c r="G20" i="42421"/>
  <c r="F20" i="42421"/>
  <c r="E20" i="42421"/>
  <c r="H20" i="42422"/>
  <c r="G20" i="42422"/>
  <c r="F20" i="42422"/>
  <c r="E20" i="42422"/>
  <c r="H46" i="42422" l="1"/>
  <c r="G46" i="42422"/>
  <c r="F46" i="42422"/>
  <c r="E46" i="42422"/>
  <c r="X46" i="42421"/>
  <c r="W46" i="42421"/>
  <c r="V46" i="42421"/>
  <c r="U46" i="42421"/>
  <c r="T46" i="42421"/>
  <c r="S46" i="42421"/>
  <c r="R46" i="42421"/>
  <c r="Q46" i="42421"/>
  <c r="L46" i="42421"/>
  <c r="K46" i="42421"/>
  <c r="J46" i="42421"/>
  <c r="I46" i="42421"/>
  <c r="H46" i="42421"/>
  <c r="G46" i="42421"/>
  <c r="F46" i="42421"/>
  <c r="E46" i="42421"/>
  <c r="X46" i="42420"/>
  <c r="W46" i="42420"/>
  <c r="V46" i="42420"/>
  <c r="U46" i="42420"/>
  <c r="T46" i="42420"/>
  <c r="S46" i="42420"/>
  <c r="R46" i="42420"/>
  <c r="Q46" i="42420"/>
  <c r="P46" i="42420"/>
  <c r="O46" i="42420"/>
  <c r="N46" i="42420"/>
  <c r="M46" i="42420"/>
  <c r="L46" i="42420"/>
  <c r="K46" i="42420"/>
  <c r="J46" i="42420"/>
  <c r="I46" i="42420"/>
  <c r="H46" i="42420"/>
  <c r="G46" i="42420"/>
  <c r="F46" i="42420"/>
  <c r="E46" i="42420"/>
  <c r="T46" i="42419"/>
  <c r="S46" i="42419"/>
  <c r="R46" i="42419"/>
  <c r="Q46" i="42419"/>
  <c r="P46" i="42419"/>
  <c r="O46" i="42419"/>
  <c r="N46" i="42419"/>
  <c r="M46" i="42419"/>
  <c r="L46" i="42419"/>
  <c r="K46" i="42419"/>
  <c r="J46" i="42419"/>
  <c r="I46" i="42419"/>
  <c r="H46" i="42419"/>
  <c r="G46" i="42419"/>
  <c r="F46" i="42419"/>
  <c r="E46" i="42419"/>
  <c r="X46" i="42417"/>
  <c r="W46" i="42417"/>
  <c r="V46" i="42417"/>
  <c r="U46" i="42417"/>
  <c r="T46" i="42417"/>
  <c r="S46" i="42417"/>
  <c r="R46" i="42417"/>
  <c r="Q46" i="42417"/>
  <c r="P46" i="42417"/>
  <c r="O46" i="42417"/>
  <c r="N46" i="42417"/>
  <c r="M46" i="42417"/>
  <c r="L46" i="42417"/>
  <c r="K46" i="42417"/>
  <c r="J46" i="42417"/>
  <c r="I46" i="42417"/>
  <c r="H46" i="42417"/>
  <c r="G46" i="42417"/>
  <c r="F46" i="42417"/>
  <c r="E46" i="42417"/>
  <c r="H19" i="42422"/>
  <c r="G19" i="42422"/>
  <c r="F19" i="42422"/>
  <c r="E19" i="42422"/>
  <c r="H18" i="42422"/>
  <c r="G18" i="42422"/>
  <c r="F18" i="42422"/>
  <c r="E18" i="42422"/>
  <c r="L19" i="42421"/>
  <c r="K19" i="42421"/>
  <c r="J19" i="42421"/>
  <c r="I19" i="42421"/>
  <c r="H19" i="42421"/>
  <c r="G19" i="42421"/>
  <c r="F19" i="42421"/>
  <c r="E19" i="42421"/>
  <c r="L18" i="42421"/>
  <c r="K18" i="42421"/>
  <c r="J18" i="42421"/>
  <c r="I18" i="42421"/>
  <c r="H18" i="42421"/>
  <c r="G18" i="42421"/>
  <c r="G17" i="42421" s="1"/>
  <c r="F18" i="42421"/>
  <c r="F17" i="42421" s="1"/>
  <c r="E18" i="42421"/>
  <c r="E17" i="42421" s="1"/>
  <c r="P19" i="42420"/>
  <c r="O19" i="42420"/>
  <c r="N19" i="42420"/>
  <c r="M19" i="42420"/>
  <c r="L19" i="42420"/>
  <c r="K19" i="42420"/>
  <c r="J19" i="42420"/>
  <c r="I19" i="42420"/>
  <c r="H19" i="42420"/>
  <c r="G19" i="42420"/>
  <c r="F19" i="42420"/>
  <c r="E19" i="42420"/>
  <c r="P18" i="42420"/>
  <c r="O18" i="42420"/>
  <c r="N18" i="42420"/>
  <c r="N17" i="42420" s="1"/>
  <c r="M18" i="42420"/>
  <c r="M17" i="42420" s="1"/>
  <c r="L18" i="42420"/>
  <c r="L17" i="42420" s="1"/>
  <c r="K18" i="42420"/>
  <c r="K17" i="42420" s="1"/>
  <c r="J18" i="42420"/>
  <c r="J17" i="42420" s="1"/>
  <c r="I18" i="42420"/>
  <c r="I17" i="42420" s="1"/>
  <c r="H18" i="42420"/>
  <c r="G18" i="42420"/>
  <c r="G17" i="42420" s="1"/>
  <c r="F18" i="42420"/>
  <c r="F17" i="42420" s="1"/>
  <c r="E18" i="42420"/>
  <c r="E17" i="42420" s="1"/>
  <c r="P17" i="42420"/>
  <c r="O17" i="42420"/>
  <c r="T19" i="42419"/>
  <c r="S19" i="42419"/>
  <c r="R19" i="42419"/>
  <c r="Q19" i="42419"/>
  <c r="P19" i="42419"/>
  <c r="O19" i="42419"/>
  <c r="N19" i="42419"/>
  <c r="M19" i="42419"/>
  <c r="L19" i="42419"/>
  <c r="K19" i="42419"/>
  <c r="J19" i="42419"/>
  <c r="I19" i="42419"/>
  <c r="H19" i="42419"/>
  <c r="G19" i="42419"/>
  <c r="F19" i="42419"/>
  <c r="E19" i="42419"/>
  <c r="T18" i="42419"/>
  <c r="T17" i="42419" s="1"/>
  <c r="S18" i="42419"/>
  <c r="R18" i="42419"/>
  <c r="R17" i="42419" s="1"/>
  <c r="Q18" i="42419"/>
  <c r="P18" i="42419"/>
  <c r="O18" i="42419"/>
  <c r="N18" i="42419"/>
  <c r="M18" i="42419"/>
  <c r="L18" i="42419"/>
  <c r="K18" i="42419"/>
  <c r="J18" i="42419"/>
  <c r="I18" i="42419"/>
  <c r="I17" i="42419" s="1"/>
  <c r="H18" i="42419"/>
  <c r="G18" i="42419"/>
  <c r="G17" i="42419" s="1"/>
  <c r="F18" i="42419"/>
  <c r="F17" i="42419" s="1"/>
  <c r="E18" i="42419"/>
  <c r="H7" i="42422"/>
  <c r="G7" i="42422"/>
  <c r="F7" i="42422"/>
  <c r="E7" i="42422"/>
  <c r="L7" i="42421"/>
  <c r="K7" i="42421"/>
  <c r="J7" i="42421"/>
  <c r="I7" i="42421"/>
  <c r="H7" i="42421"/>
  <c r="G7" i="42421"/>
  <c r="F7" i="42421"/>
  <c r="E7" i="42421"/>
  <c r="P7" i="42420"/>
  <c r="O7" i="42420"/>
  <c r="N7" i="42420"/>
  <c r="M7" i="42420"/>
  <c r="L7" i="42420"/>
  <c r="K7" i="42420"/>
  <c r="J7" i="42420"/>
  <c r="I7" i="42420"/>
  <c r="H7" i="42420"/>
  <c r="G7" i="42420"/>
  <c r="F7" i="42420"/>
  <c r="E7" i="42420"/>
  <c r="T7" i="42419"/>
  <c r="S7" i="42419"/>
  <c r="R7" i="42419"/>
  <c r="Q7" i="42419"/>
  <c r="P7" i="42419"/>
  <c r="O7" i="42419"/>
  <c r="N7" i="42419"/>
  <c r="M7" i="42419"/>
  <c r="L7" i="42419"/>
  <c r="K7" i="42419"/>
  <c r="J7" i="42419"/>
  <c r="I7" i="42419"/>
  <c r="H7" i="42419"/>
  <c r="G7" i="42419"/>
  <c r="F7" i="42419"/>
  <c r="E7" i="42419"/>
  <c r="X19" i="42417"/>
  <c r="W19" i="42417"/>
  <c r="V19" i="42417"/>
  <c r="U19" i="42417"/>
  <c r="T19" i="42417"/>
  <c r="S19" i="42417"/>
  <c r="R19" i="42417"/>
  <c r="Q19" i="42417"/>
  <c r="P19" i="42417"/>
  <c r="O19" i="42417"/>
  <c r="N19" i="42417"/>
  <c r="M19" i="42417"/>
  <c r="L19" i="42417"/>
  <c r="K19" i="42417"/>
  <c r="J19" i="42417"/>
  <c r="I19" i="42417"/>
  <c r="H19" i="42417"/>
  <c r="G19" i="42417"/>
  <c r="F19" i="42417"/>
  <c r="X18" i="42417"/>
  <c r="X17" i="42417" s="1"/>
  <c r="W18" i="42417"/>
  <c r="V18" i="42417"/>
  <c r="U18" i="42417"/>
  <c r="T18" i="42417"/>
  <c r="S18" i="42417"/>
  <c r="R18" i="42417"/>
  <c r="Q18" i="42417"/>
  <c r="P18" i="42417"/>
  <c r="O18" i="42417"/>
  <c r="N18" i="42417"/>
  <c r="N17" i="42417" s="1"/>
  <c r="M18" i="42417"/>
  <c r="L18" i="42417"/>
  <c r="L17" i="42417" s="1"/>
  <c r="K18" i="42417"/>
  <c r="J18" i="42417"/>
  <c r="I18" i="42417"/>
  <c r="H18" i="42417"/>
  <c r="G18" i="42417"/>
  <c r="F18" i="42417"/>
  <c r="E19" i="42417"/>
  <c r="E18" i="42417"/>
  <c r="X7" i="42417"/>
  <c r="W7" i="42417"/>
  <c r="V7" i="42417"/>
  <c r="U7" i="42417"/>
  <c r="T7" i="42417"/>
  <c r="S7" i="42417"/>
  <c r="R7" i="42417"/>
  <c r="Q7" i="42417"/>
  <c r="P7" i="42417"/>
  <c r="O7" i="42417"/>
  <c r="N7" i="42417"/>
  <c r="M7" i="42417"/>
  <c r="L7" i="42417"/>
  <c r="K7" i="42417"/>
  <c r="J7" i="42417"/>
  <c r="I7" i="42417"/>
  <c r="H7" i="42417"/>
  <c r="F7" i="42417"/>
  <c r="G7" i="42417"/>
  <c r="E7" i="42417"/>
  <c r="H17" i="42419" l="1"/>
  <c r="J17" i="42419"/>
  <c r="O17" i="42419"/>
  <c r="P17" i="42419"/>
  <c r="E17" i="42419"/>
  <c r="Q17" i="42419"/>
  <c r="H17" i="42420"/>
  <c r="S17" i="42419"/>
  <c r="E17" i="42417"/>
  <c r="E17" i="42422"/>
  <c r="N17" i="42419"/>
  <c r="L17" i="42419"/>
  <c r="H17" i="42421"/>
  <c r="K17" i="42419"/>
  <c r="M17" i="42419"/>
  <c r="H17" i="42417"/>
  <c r="Q17" i="42417"/>
  <c r="M17" i="42417"/>
  <c r="R17" i="42417"/>
  <c r="G17" i="42417"/>
  <c r="T17" i="42417"/>
  <c r="I17" i="42417"/>
  <c r="H17" i="42422"/>
  <c r="F17" i="42422"/>
  <c r="G17" i="42422"/>
  <c r="K17" i="42417"/>
  <c r="W17" i="42417"/>
  <c r="F17" i="42417"/>
  <c r="J17" i="42417"/>
  <c r="V17" i="42417"/>
  <c r="P17" i="42417"/>
  <c r="S17" i="42417"/>
  <c r="U17" i="42417"/>
  <c r="O17" i="42417"/>
  <c r="I17" i="42421"/>
  <c r="J17" i="42421"/>
  <c r="K17" i="42421"/>
  <c r="L17" i="42421"/>
</calcChain>
</file>

<file path=xl/comments1.xml><?xml version="1.0" encoding="utf-8"?>
<comments xmlns="http://schemas.openxmlformats.org/spreadsheetml/2006/main">
  <authors>
    <author>Claudia Giovagnoli</author>
  </authors>
  <commentList>
    <comment ref="A7" authorId="0" shapeId="0">
      <text>
        <r>
          <rPr>
            <b/>
            <sz val="10"/>
            <color indexed="10"/>
            <rFont val="Tahoma"/>
            <family val="2"/>
          </rPr>
          <t>Hecho Generador</t>
        </r>
      </text>
    </comment>
    <comment ref="A20" authorId="0" shapeId="0">
      <text>
        <r>
          <rPr>
            <b/>
            <sz val="10"/>
            <color indexed="10"/>
            <rFont val="Tahoma"/>
            <family val="2"/>
          </rPr>
          <t>Provincia</t>
        </r>
      </text>
    </comment>
    <comment ref="A46" authorId="0" shapeId="0">
      <text>
        <r>
          <rPr>
            <b/>
            <sz val="10"/>
            <color indexed="10"/>
            <rFont val="Tahoma"/>
            <family val="2"/>
          </rPr>
          <t>Tipo de Vehículo</t>
        </r>
      </text>
    </comment>
    <comment ref="B57" authorId="0" shapeId="0">
      <text>
        <r>
          <rPr>
            <b/>
            <sz val="9"/>
            <color indexed="12"/>
            <rFont val="Tahoma"/>
            <family val="2"/>
          </rPr>
          <t>ver descripción en la hoja 'definiciones'</t>
        </r>
        <r>
          <rPr>
            <sz val="13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10"/>
            <color indexed="10"/>
            <rFont val="Tahoma"/>
            <family val="2"/>
          </rPr>
          <t>Tipo de Vehículo por Hecho Generador</t>
        </r>
      </text>
    </comment>
  </commentList>
</comments>
</file>

<file path=xl/comments2.xml><?xml version="1.0" encoding="utf-8"?>
<comments xmlns="http://schemas.openxmlformats.org/spreadsheetml/2006/main">
  <authors>
    <author>Claudia Giovagnoli</author>
  </authors>
  <commentList>
    <comment ref="A7" authorId="0" shapeId="0">
      <text>
        <r>
          <rPr>
            <b/>
            <sz val="10"/>
            <color indexed="10"/>
            <rFont val="Tahoma"/>
            <family val="2"/>
          </rPr>
          <t>Hecho Generador</t>
        </r>
      </text>
    </comment>
    <comment ref="A20" authorId="0" shapeId="0">
      <text>
        <r>
          <rPr>
            <b/>
            <sz val="10"/>
            <color indexed="10"/>
            <rFont val="Tahoma"/>
            <family val="2"/>
          </rPr>
          <t>Provincia</t>
        </r>
      </text>
    </comment>
    <comment ref="A46" authorId="0" shapeId="0">
      <text>
        <r>
          <rPr>
            <b/>
            <sz val="10"/>
            <color indexed="10"/>
            <rFont val="Tahoma"/>
            <family val="2"/>
          </rPr>
          <t>Tipo de Vehículo</t>
        </r>
      </text>
    </comment>
    <comment ref="B57" authorId="0" shapeId="0">
      <text>
        <r>
          <rPr>
            <b/>
            <sz val="9"/>
            <color indexed="12"/>
            <rFont val="Tahoma"/>
            <family val="2"/>
          </rPr>
          <t>ver descripción en la hoja 'definiciones'</t>
        </r>
        <r>
          <rPr>
            <sz val="13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10"/>
            <color indexed="10"/>
            <rFont val="Tahoma"/>
            <family val="2"/>
          </rPr>
          <t>Tipo de Vehículo por Hecho Generador</t>
        </r>
      </text>
    </comment>
  </commentList>
</comments>
</file>

<file path=xl/comments3.xml><?xml version="1.0" encoding="utf-8"?>
<comments xmlns="http://schemas.openxmlformats.org/spreadsheetml/2006/main">
  <authors>
    <author>Claudia Giovagnoli</author>
  </authors>
  <commentList>
    <comment ref="A7" authorId="0" shapeId="0">
      <text>
        <r>
          <rPr>
            <b/>
            <sz val="10"/>
            <color indexed="10"/>
            <rFont val="Tahoma"/>
            <family val="2"/>
          </rPr>
          <t>Hecho Generador</t>
        </r>
      </text>
    </comment>
    <comment ref="A20" authorId="0" shapeId="0">
      <text>
        <r>
          <rPr>
            <b/>
            <sz val="10"/>
            <color indexed="10"/>
            <rFont val="Tahoma"/>
            <family val="2"/>
          </rPr>
          <t>Provincia</t>
        </r>
      </text>
    </comment>
    <comment ref="A46" authorId="0" shapeId="0">
      <text>
        <r>
          <rPr>
            <b/>
            <sz val="10"/>
            <color indexed="10"/>
            <rFont val="Tahoma"/>
            <family val="2"/>
          </rPr>
          <t>Tipo de Vehículo</t>
        </r>
      </text>
    </comment>
    <comment ref="B57" authorId="0" shapeId="0">
      <text>
        <r>
          <rPr>
            <b/>
            <sz val="9"/>
            <color indexed="12"/>
            <rFont val="Tahoma"/>
            <family val="2"/>
          </rPr>
          <t>ver descripción en la hoja 'definiciones'</t>
        </r>
        <r>
          <rPr>
            <sz val="13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10"/>
            <color indexed="10"/>
            <rFont val="Tahoma"/>
            <family val="2"/>
          </rPr>
          <t>Tipo de Vehículo por Hecho Generador</t>
        </r>
      </text>
    </comment>
  </commentList>
</comments>
</file>

<file path=xl/comments4.xml><?xml version="1.0" encoding="utf-8"?>
<comments xmlns="http://schemas.openxmlformats.org/spreadsheetml/2006/main">
  <authors>
    <author>Claudia Giovagnoli</author>
  </authors>
  <commentList>
    <comment ref="A7" authorId="0" shapeId="0">
      <text>
        <r>
          <rPr>
            <b/>
            <sz val="10"/>
            <color indexed="10"/>
            <rFont val="Tahoma"/>
            <family val="2"/>
          </rPr>
          <t>Hecho Generador</t>
        </r>
      </text>
    </comment>
    <comment ref="A20" authorId="0" shapeId="0">
      <text>
        <r>
          <rPr>
            <b/>
            <sz val="10"/>
            <color indexed="10"/>
            <rFont val="Tahoma"/>
            <family val="2"/>
          </rPr>
          <t>Provincia</t>
        </r>
      </text>
    </comment>
    <comment ref="A46" authorId="0" shapeId="0">
      <text>
        <r>
          <rPr>
            <b/>
            <sz val="10"/>
            <color indexed="10"/>
            <rFont val="Tahoma"/>
            <family val="2"/>
          </rPr>
          <t>Tipo de Vehículo</t>
        </r>
      </text>
    </comment>
    <comment ref="B57" authorId="0" shapeId="0">
      <text>
        <r>
          <rPr>
            <b/>
            <sz val="9"/>
            <color indexed="12"/>
            <rFont val="Tahoma"/>
            <family val="2"/>
          </rPr>
          <t>ver descripción en la hoja 'definiciones'</t>
        </r>
        <r>
          <rPr>
            <sz val="13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10"/>
            <color indexed="10"/>
            <rFont val="Tahoma"/>
            <family val="2"/>
          </rPr>
          <t>Tipo de Vehículo por Hecho Generador</t>
        </r>
      </text>
    </comment>
  </commentList>
</comments>
</file>

<file path=xl/comments5.xml><?xml version="1.0" encoding="utf-8"?>
<comments xmlns="http://schemas.openxmlformats.org/spreadsheetml/2006/main">
  <authors>
    <author>Claudia Giovagnoli</author>
  </authors>
  <commentList>
    <comment ref="A7" authorId="0" shapeId="0">
      <text>
        <r>
          <rPr>
            <b/>
            <sz val="10"/>
            <color indexed="10"/>
            <rFont val="Tahoma"/>
            <family val="2"/>
          </rPr>
          <t>Hecho Generador</t>
        </r>
      </text>
    </comment>
    <comment ref="A20" authorId="0" shapeId="0">
      <text>
        <r>
          <rPr>
            <b/>
            <sz val="10"/>
            <color indexed="10"/>
            <rFont val="Tahoma"/>
            <family val="2"/>
          </rPr>
          <t>Provincia</t>
        </r>
      </text>
    </comment>
    <comment ref="A46" authorId="0" shapeId="0">
      <text>
        <r>
          <rPr>
            <b/>
            <sz val="10"/>
            <color indexed="10"/>
            <rFont val="Tahoma"/>
            <family val="2"/>
          </rPr>
          <t>Tipo de Vehículo</t>
        </r>
      </text>
    </comment>
    <comment ref="B57" authorId="0" shapeId="0">
      <text>
        <r>
          <rPr>
            <b/>
            <sz val="9"/>
            <color indexed="12"/>
            <rFont val="Tahoma"/>
            <family val="2"/>
          </rPr>
          <t>ver descripción en la hoja 'definiciones'</t>
        </r>
        <r>
          <rPr>
            <sz val="13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10"/>
            <color indexed="10"/>
            <rFont val="Tahoma"/>
            <family val="2"/>
          </rPr>
          <t>Tipo de Vehículo por Hecho Generador</t>
        </r>
      </text>
    </comment>
  </commentList>
</comments>
</file>

<file path=xl/sharedStrings.xml><?xml version="1.0" encoding="utf-8"?>
<sst xmlns="http://schemas.openxmlformats.org/spreadsheetml/2006/main" count="2025" uniqueCount="156">
  <si>
    <t>i1</t>
  </si>
  <si>
    <t>i2</t>
  </si>
  <si>
    <t xml:space="preserve">Siniestros </t>
  </si>
  <si>
    <t>Pagados</t>
  </si>
  <si>
    <t>[HG]</t>
  </si>
  <si>
    <t>Total</t>
  </si>
  <si>
    <t>Robo parcial</t>
  </si>
  <si>
    <t>Robo total</t>
  </si>
  <si>
    <t>Incendio parcial</t>
  </si>
  <si>
    <t>Incendio total</t>
  </si>
  <si>
    <t>Daño parcial</t>
  </si>
  <si>
    <t>Daño total</t>
  </si>
  <si>
    <t>RC</t>
  </si>
  <si>
    <t>casco</t>
  </si>
  <si>
    <t>[M]</t>
  </si>
  <si>
    <t>[TV]</t>
  </si>
  <si>
    <t>M1</t>
  </si>
  <si>
    <t>M2</t>
  </si>
  <si>
    <t>M3</t>
  </si>
  <si>
    <t>1+2+3</t>
  </si>
  <si>
    <t>4+5+6+7+8+9</t>
  </si>
  <si>
    <t>autos</t>
  </si>
  <si>
    <t>pick up A, ...</t>
  </si>
  <si>
    <t>camionetas, ...</t>
  </si>
  <si>
    <t>camiones, ...</t>
  </si>
  <si>
    <t>motos</t>
  </si>
  <si>
    <t>tractores, ...</t>
  </si>
  <si>
    <t>acoplados, ...</t>
  </si>
  <si>
    <t>casas rodantes s/propulsión, ...</t>
  </si>
  <si>
    <t>taxis</t>
  </si>
  <si>
    <t>remises</t>
  </si>
  <si>
    <t>descripción</t>
  </si>
  <si>
    <t>variables</t>
  </si>
  <si>
    <t>códigos</t>
  </si>
  <si>
    <t>Pendientes</t>
  </si>
  <si>
    <t xml:space="preserve">Pagado + </t>
  </si>
  <si>
    <t>Pendiente</t>
  </si>
  <si>
    <t>AUTOMOTORES</t>
  </si>
  <si>
    <t>RC lesiones 3º no transportados</t>
  </si>
  <si>
    <t>RC lesiones 3º transportados</t>
  </si>
  <si>
    <t>RC daños a cosas</t>
  </si>
  <si>
    <t>Hecho Generador</t>
  </si>
  <si>
    <t>Tipo de Vehículo</t>
  </si>
  <si>
    <t>Autos particulares.</t>
  </si>
  <si>
    <t>Camionetas rurales, breaks, jeeps hasta 4 cilindros, pick up "A".</t>
  </si>
  <si>
    <t>Camionetas, jeeps más de 4 cilindros, pick up "B", casas rodantes con propulsión propia.</t>
  </si>
  <si>
    <t>Camiones, semitracción.</t>
  </si>
  <si>
    <t>Motos.</t>
  </si>
  <si>
    <t>Casas rodantes sin propulsión propia, trailer, bantam.</t>
  </si>
  <si>
    <t>Tractores, máquinas rurales, acoplados para trabajos rurales.</t>
  </si>
  <si>
    <t>Acoplados, furgones, semirremolques.</t>
  </si>
  <si>
    <t>Taxis.</t>
  </si>
  <si>
    <t>Remises.</t>
  </si>
  <si>
    <t>Información contenida</t>
  </si>
  <si>
    <t>Definiciones de variables y simbología utilizada</t>
  </si>
  <si>
    <t>SINIESTROS</t>
  </si>
  <si>
    <t>[TV x HG]</t>
  </si>
  <si>
    <t>Capital Federal</t>
  </si>
  <si>
    <t>Buenos Aires</t>
  </si>
  <si>
    <t>Catamarca</t>
  </si>
  <si>
    <t>Córdoba</t>
  </si>
  <si>
    <t xml:space="preserve">Corrientes </t>
  </si>
  <si>
    <t xml:space="preserve">Entre Ríos </t>
  </si>
  <si>
    <t>Jujuy</t>
  </si>
  <si>
    <t>Mendoza</t>
  </si>
  <si>
    <t>La Rioja</t>
  </si>
  <si>
    <t>Salta</t>
  </si>
  <si>
    <t>San Juan</t>
  </si>
  <si>
    <t>San Luis</t>
  </si>
  <si>
    <t>Santa Fe</t>
  </si>
  <si>
    <t>Santiago del Estero</t>
  </si>
  <si>
    <t>Tucumán</t>
  </si>
  <si>
    <t>Chaco</t>
  </si>
  <si>
    <t>Chubut</t>
  </si>
  <si>
    <t>Formosa</t>
  </si>
  <si>
    <t>Misiones</t>
  </si>
  <si>
    <t>Neuquén</t>
  </si>
  <si>
    <t>La Pampa</t>
  </si>
  <si>
    <t>Río Negro</t>
  </si>
  <si>
    <t>Santa Cruz</t>
  </si>
  <si>
    <t>Tierra del Fuego</t>
  </si>
  <si>
    <t>País Limítrofe</t>
  </si>
  <si>
    <t>Provincia</t>
  </si>
  <si>
    <t>Ejercicio de Ocurrencia</t>
  </si>
  <si>
    <t>[Prov]</t>
  </si>
  <si>
    <t>Tipo de Vehículo y Hecho Generador</t>
  </si>
  <si>
    <t>Responsabilidad Civil por lesiones a 3º transportados</t>
  </si>
  <si>
    <t>Responsabilidad Civil por lesiones 3º no transportados</t>
  </si>
  <si>
    <t>Responsabilidad Civil por daños a cosas</t>
  </si>
  <si>
    <t>vehículos para transporte de pasajeros con más de 8 asientos excluyendo el asiento del conductor, y que tenga un peso mayor a los 5.000Kg.</t>
  </si>
  <si>
    <t>vehículo para transporte de pasajeros con más de 8 asientos excluyendo el asiento del conductor, y que no exceda el peso máximo de 5.000Kg.</t>
  </si>
  <si>
    <t>vehículo para transporte de pasajeros, que no contenga más de ocho 8asientos además del asiento del conductor y que cargado no exceda un máximo de 3.500 Kg.</t>
  </si>
  <si>
    <t>Cantidad de Siniestros</t>
  </si>
  <si>
    <t>Provincia de ocurrencia del siniestro</t>
  </si>
  <si>
    <t>Cuando se cuenta la cantidad de siniestros por [HG], se considera 1 siniestro por cada cobertura afectada. En cambio, cuando se contabiliza la cantidad de siniestros por [TV], [M] o [PROV], se considera 1 siniestro aunque en el mismo haya más de una cobertura afectada.</t>
  </si>
  <si>
    <t xml:space="preserve">sin información </t>
  </si>
  <si>
    <t>Hecho Generador del siniestro</t>
  </si>
  <si>
    <t>Monto Pendiente más Pagado</t>
  </si>
  <si>
    <t>Desarrollo al</t>
  </si>
  <si>
    <t>Ejercicio de Desarrollo</t>
  </si>
  <si>
    <t>1 año</t>
  </si>
  <si>
    <t>2 años</t>
  </si>
  <si>
    <t>3 años</t>
  </si>
  <si>
    <t>4 años</t>
  </si>
  <si>
    <t>5 años</t>
  </si>
  <si>
    <t>TOTAL</t>
  </si>
  <si>
    <t>Incurridos</t>
  </si>
  <si>
    <t>RC lesiones + cosas</t>
  </si>
  <si>
    <t>RC lesiones</t>
  </si>
  <si>
    <t>RC cosas</t>
  </si>
  <si>
    <t>Casco</t>
  </si>
  <si>
    <t>Casco  Robo Total</t>
  </si>
  <si>
    <t>Casco  Robo Parcial</t>
  </si>
  <si>
    <t>Casco  Incendio Parcial</t>
  </si>
  <si>
    <t>Casco  Incendio Total</t>
  </si>
  <si>
    <t>Casco  Daño Parcial</t>
  </si>
  <si>
    <t>Casco  Daño Total</t>
  </si>
  <si>
    <t>Cantidad de siniestros</t>
  </si>
  <si>
    <t>Frecuencia</t>
  </si>
  <si>
    <t>Intensidad</t>
  </si>
  <si>
    <t>Triangulos Siniestrales</t>
  </si>
  <si>
    <t>Definiciones</t>
  </si>
  <si>
    <t>Triangulos</t>
  </si>
  <si>
    <t xml:space="preserve">AUTOMOTORES </t>
  </si>
  <si>
    <t>Desarrollo de Siniestros</t>
  </si>
  <si>
    <t>2020 - 2021</t>
  </si>
  <si>
    <t>30.06.2021</t>
  </si>
  <si>
    <t>2020 / 2021</t>
  </si>
  <si>
    <t>Siniestros ocurridos en el ejercicio 2020 / 2021</t>
  </si>
  <si>
    <t>Siniestros ocurridos en el ejercicio 2021 / 2022</t>
  </si>
  <si>
    <t>2021 - 2022</t>
  </si>
  <si>
    <t>30.06.2022</t>
  </si>
  <si>
    <t>2 año</t>
  </si>
  <si>
    <t>2021 / 2022</t>
  </si>
  <si>
    <t>Hoja</t>
  </si>
  <si>
    <t>Variables</t>
  </si>
  <si>
    <t>Descripción</t>
  </si>
  <si>
    <t>Códigos</t>
  </si>
  <si>
    <t>Cantidad de</t>
  </si>
  <si>
    <t>Siniestros</t>
  </si>
  <si>
    <t>2022 / 2023</t>
  </si>
  <si>
    <t>2023 / 2024</t>
  </si>
  <si>
    <t>30.06.2024</t>
  </si>
  <si>
    <t>2023 - 2024</t>
  </si>
  <si>
    <t>2022 - 2023</t>
  </si>
  <si>
    <t>30.06.2023</t>
  </si>
  <si>
    <t>2023- 2024</t>
  </si>
  <si>
    <t>2022- 2023</t>
  </si>
  <si>
    <t>Siniestros ocurridos en el ejercicio 2023 / 2024</t>
  </si>
  <si>
    <t>Siniestros ocurridos en el ejercicio 2022 / 2023</t>
  </si>
  <si>
    <t>2024 / 2025</t>
  </si>
  <si>
    <t>30.06.2025</t>
  </si>
  <si>
    <t>2024 - 2025</t>
  </si>
  <si>
    <t>3 año</t>
  </si>
  <si>
    <t>2024- 2025</t>
  </si>
  <si>
    <t>Siniestros ocurridos en el ejercicio 2024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</si>
</sst>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64" formatCode="_-&quot;$&quot;* #,##0.00_-;\-&quot;$&quot;* #,##0.00_-;_-&quot;$&quot;* &quot;-&quot;??_-;_-@_-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(* #,##0_);_(* \(#,##0\);_(* &quot;-&quot;_);_(@_)"/>
    <numFmt numFmtId="168" formatCode="_(* #,##0.00_);_(* \(#,##0.00\);_(* &quot;-&quot;??_);_(@_)"/>
    <numFmt numFmtId="169" formatCode="&quot;$&quot;#,##0.00"/>
    <numFmt numFmtId="170" formatCode="&quot;$&quot;#,##0"/>
    <numFmt numFmtId="171" formatCode="_ * #,##0_ ;_ * \-#,##0_ ;_ * &quot;-&quot;??_ ;_ @_ "/>
    <numFmt numFmtId="172" formatCode="0.0%"/>
    <numFmt numFmtId="173" formatCode="_ &quot;$&quot;\ * #,##0_ ;_ &quot;$&quot;\ * \-#,##0_ ;_ &quot;$&quot;\ * &quot;-&quot;??_ ;_ @_ "/>
    <numFmt numFmtId="174" formatCode="_-&quot;$&quot;\ * #,##0_-;\-&quot;$&quot;\ * #,##0_-;_-&quot;$&quot;\ * &quot;-&quot;??_-;_-@_-"/>
  </numFmts>
  <fonts count="30"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3"/>
      <color indexed="81"/>
      <name val="Tahoma"/>
      <family val="2"/>
    </font>
    <font>
      <b/>
      <sz val="9"/>
      <color indexed="12"/>
      <name val="Tahoma"/>
      <family val="2"/>
    </font>
    <font>
      <sz val="10"/>
      <name val="Arial"/>
      <family val="2"/>
    </font>
    <font>
      <b/>
      <sz val="10"/>
      <color indexed="10"/>
      <name val="Tahoma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10"/>
      <name val="Roboto"/>
    </font>
    <font>
      <sz val="10"/>
      <color indexed="12"/>
      <name val="Roboto"/>
    </font>
    <font>
      <sz val="9"/>
      <name val="Arial"/>
      <family val="2"/>
    </font>
    <font>
      <sz val="10"/>
      <name val="Monserrat"/>
    </font>
    <font>
      <b/>
      <sz val="10"/>
      <name val="Monserrat"/>
    </font>
    <font>
      <sz val="14"/>
      <name val="Lora"/>
    </font>
    <font>
      <i/>
      <sz val="10"/>
      <name val="Montserrat"/>
    </font>
    <font>
      <i/>
      <u/>
      <sz val="10"/>
      <color indexed="48"/>
      <name val="Montserrat"/>
    </font>
    <font>
      <sz val="10"/>
      <name val="Montserrat"/>
    </font>
    <font>
      <b/>
      <sz val="10"/>
      <name val="Montserrat"/>
    </font>
    <font>
      <sz val="10"/>
      <color indexed="12"/>
      <name val="Montserrat"/>
    </font>
    <font>
      <b/>
      <sz val="14"/>
      <color theme="0"/>
      <name val="Lora"/>
    </font>
    <font>
      <b/>
      <sz val="10"/>
      <color theme="0"/>
      <name val="Monserrat"/>
    </font>
    <font>
      <sz val="14"/>
      <color theme="0"/>
      <name val="Lora"/>
    </font>
    <font>
      <b/>
      <sz val="12"/>
      <color theme="0"/>
      <name val="Lora"/>
    </font>
    <font>
      <b/>
      <sz val="10"/>
      <color theme="0"/>
      <name val="Montserrat"/>
    </font>
    <font>
      <b/>
      <sz val="10"/>
      <color theme="1"/>
      <name val="Montserrat"/>
    </font>
    <font>
      <sz val="10"/>
      <color theme="1"/>
      <name val="Montserrat"/>
    </font>
    <font>
      <b/>
      <i/>
      <sz val="14"/>
      <color theme="0"/>
      <name val="Lora"/>
    </font>
    <font>
      <u/>
      <sz val="10"/>
      <color theme="10"/>
      <name val="Arial"/>
    </font>
    <font>
      <i/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6F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rgb="FF242C4F"/>
      </right>
      <top style="thin">
        <color theme="0"/>
      </top>
      <bottom style="thin">
        <color theme="0"/>
      </bottom>
      <diagonal/>
    </border>
    <border>
      <left/>
      <right style="thin">
        <color rgb="FF242C4F"/>
      </right>
      <top/>
      <bottom/>
      <diagonal/>
    </border>
    <border>
      <left/>
      <right style="thin">
        <color rgb="FF242C4F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rgb="FF242C4F"/>
      </right>
      <top style="thin">
        <color theme="1"/>
      </top>
      <bottom/>
      <diagonal/>
    </border>
    <border>
      <left style="thin">
        <color rgb="FF242C4F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242C4F"/>
      </right>
      <top/>
      <bottom/>
      <diagonal/>
    </border>
    <border>
      <left style="thin">
        <color rgb="FF242C4F"/>
      </left>
      <right style="thin">
        <color theme="1"/>
      </right>
      <top/>
      <bottom/>
      <diagonal/>
    </border>
    <border>
      <left style="thin">
        <color theme="1"/>
      </left>
      <right style="thin">
        <color rgb="FF242C4F"/>
      </right>
      <top/>
      <bottom style="medium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rgb="FF242C4F"/>
      </right>
      <top/>
      <bottom style="thin">
        <color rgb="FF242C4F"/>
      </bottom>
      <diagonal/>
    </border>
    <border>
      <left style="thin">
        <color rgb="FF242C4F"/>
      </left>
      <right style="thin">
        <color rgb="FF242C4F"/>
      </right>
      <top/>
      <bottom style="thin">
        <color rgb="FF242C4F"/>
      </bottom>
      <diagonal/>
    </border>
    <border>
      <left style="thin">
        <color theme="1"/>
      </left>
      <right style="thin">
        <color rgb="FF242C4F"/>
      </right>
      <top style="thin">
        <color rgb="FF242C4F"/>
      </top>
      <bottom style="thin">
        <color rgb="FF242C4F"/>
      </bottom>
      <diagonal/>
    </border>
    <border>
      <left style="thin">
        <color rgb="FF242C4F"/>
      </left>
      <right style="thin">
        <color rgb="FF242C4F"/>
      </right>
      <top style="thin">
        <color rgb="FF242C4F"/>
      </top>
      <bottom style="thin">
        <color rgb="FF242C4F"/>
      </bottom>
      <diagonal/>
    </border>
    <border>
      <left style="thin">
        <color rgb="FF242C4F"/>
      </left>
      <right style="thin">
        <color rgb="FF242C4F"/>
      </right>
      <top style="thin">
        <color rgb="FF242C4F"/>
      </top>
      <bottom style="medium">
        <color theme="1"/>
      </bottom>
      <diagonal/>
    </border>
    <border>
      <left style="thin">
        <color rgb="FF242C4F"/>
      </left>
      <right style="thin">
        <color theme="1"/>
      </right>
      <top/>
      <bottom style="thin">
        <color rgb="FF242C4F"/>
      </bottom>
      <diagonal/>
    </border>
    <border>
      <left style="thin">
        <color rgb="FF242C4F"/>
      </left>
      <right style="thin">
        <color theme="1"/>
      </right>
      <top style="thin">
        <color rgb="FF242C4F"/>
      </top>
      <bottom style="thin">
        <color rgb="FF242C4F"/>
      </bottom>
      <diagonal/>
    </border>
    <border>
      <left style="thin">
        <color rgb="FF242C4F"/>
      </left>
      <right style="thin">
        <color theme="1"/>
      </right>
      <top style="thin">
        <color rgb="FF242C4F"/>
      </top>
      <bottom style="medium">
        <color theme="1"/>
      </bottom>
      <diagonal/>
    </border>
    <border>
      <left style="thin">
        <color rgb="FF242C4F"/>
      </left>
      <right style="thin">
        <color rgb="FF242C4F"/>
      </right>
      <top style="medium">
        <color rgb="FF00B0F0"/>
      </top>
      <bottom style="thin">
        <color rgb="FF00B0F0"/>
      </bottom>
      <diagonal/>
    </border>
    <border>
      <left style="thin">
        <color rgb="FF242C4F"/>
      </left>
      <right style="thin">
        <color rgb="FF242C4F"/>
      </right>
      <top/>
      <bottom/>
      <diagonal/>
    </border>
    <border>
      <left style="thin">
        <color rgb="FF242C4F"/>
      </left>
      <right style="thin">
        <color rgb="FF242C4F"/>
      </right>
      <top/>
      <bottom style="medium">
        <color theme="1"/>
      </bottom>
      <diagonal/>
    </border>
    <border>
      <left style="thin">
        <color theme="1"/>
      </left>
      <right style="thin">
        <color rgb="FF242C4F"/>
      </right>
      <top style="medium">
        <color rgb="FF00B0F0"/>
      </top>
      <bottom style="thin">
        <color rgb="FF00B0F0"/>
      </bottom>
      <diagonal/>
    </border>
    <border>
      <left style="thin">
        <color rgb="FF242C4F"/>
      </left>
      <right style="thin">
        <color theme="1"/>
      </right>
      <top style="medium">
        <color rgb="FF00B0F0"/>
      </top>
      <bottom style="thin">
        <color rgb="FF00B0F0"/>
      </bottom>
      <diagonal/>
    </border>
    <border>
      <left style="thin">
        <color rgb="FF242C4F"/>
      </left>
      <right style="thin">
        <color theme="1"/>
      </right>
      <top/>
      <bottom style="medium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rgb="FF242C4F"/>
      </right>
      <top style="thin">
        <color rgb="FF242C4F"/>
      </top>
      <bottom style="medium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rgb="FF242C4F"/>
      </left>
      <right/>
      <top style="thin">
        <color rgb="FF00B0F0"/>
      </top>
      <bottom/>
      <diagonal/>
    </border>
    <border>
      <left/>
      <right style="thin">
        <color rgb="FF242C4F"/>
      </right>
      <top style="thin">
        <color rgb="FF00B0F0"/>
      </top>
      <bottom/>
      <diagonal/>
    </border>
    <border>
      <left style="thin">
        <color rgb="FF242C4F"/>
      </left>
      <right/>
      <top/>
      <bottom style="medium">
        <color rgb="FF00B0F0"/>
      </bottom>
      <diagonal/>
    </border>
    <border>
      <left/>
      <right style="thin">
        <color rgb="FF242C4F"/>
      </right>
      <top/>
      <bottom style="medium">
        <color rgb="FF00B0F0"/>
      </bottom>
      <diagonal/>
    </border>
    <border>
      <left/>
      <right style="thin">
        <color rgb="FF242C4F"/>
      </right>
      <top/>
      <bottom style="medium">
        <color auto="1"/>
      </bottom>
      <diagonal/>
    </border>
    <border>
      <left style="thin">
        <color indexed="64"/>
      </left>
      <right style="thin">
        <color rgb="FF242C4F"/>
      </right>
      <top style="thin">
        <color theme="0"/>
      </top>
      <bottom style="medium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rgb="FF242C4F"/>
      </left>
      <right style="thin">
        <color rgb="FF242C4F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medium">
        <color rgb="FF00B0F0"/>
      </bottom>
      <diagonal/>
    </border>
    <border>
      <left style="thin">
        <color theme="0"/>
      </left>
      <right style="thin">
        <color theme="1"/>
      </right>
      <top/>
      <bottom style="medium">
        <color rgb="FF00B0F0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medium">
        <color rgb="FF00B0F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/>
      <bottom style="medium">
        <color rgb="FF00B0F0"/>
      </bottom>
      <diagonal/>
    </border>
  </borders>
  <cellStyleXfs count="13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75">
    <xf numFmtId="0" fontId="0" fillId="0" borderId="0" xfId="0"/>
    <xf numFmtId="0" fontId="7" fillId="2" borderId="0" xfId="7" applyFont="1" applyFill="1" applyBorder="1" applyAlignment="1">
      <alignment horizontal="left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wrapText="1"/>
    </xf>
    <xf numFmtId="0" fontId="9" fillId="2" borderId="0" xfId="0" applyFont="1" applyFill="1" applyBorder="1"/>
    <xf numFmtId="0" fontId="9" fillId="2" borderId="0" xfId="7" applyFont="1" applyFill="1" applyBorder="1"/>
    <xf numFmtId="0" fontId="10" fillId="2" borderId="0" xfId="7" applyFont="1" applyFill="1" applyBorder="1" applyAlignment="1">
      <alignment horizontal="left"/>
    </xf>
    <xf numFmtId="0" fontId="9" fillId="2" borderId="0" xfId="7" applyFont="1" applyFill="1" applyBorder="1" applyAlignment="1">
      <alignment horizontal="left"/>
    </xf>
    <xf numFmtId="0" fontId="9" fillId="2" borderId="0" xfId="7" applyFont="1" applyFill="1"/>
    <xf numFmtId="0" fontId="11" fillId="0" borderId="0" xfId="6" applyFont="1" applyAlignment="1">
      <alignment horizontal="left" vertical="center"/>
    </xf>
    <xf numFmtId="0" fontId="11" fillId="0" borderId="0" xfId="6" applyFont="1" applyAlignment="1">
      <alignment vertical="center"/>
    </xf>
    <xf numFmtId="171" fontId="11" fillId="0" borderId="0" xfId="1" quotePrefix="1" applyNumberFormat="1" applyFont="1" applyAlignment="1">
      <alignment vertical="center"/>
    </xf>
    <xf numFmtId="0" fontId="11" fillId="3" borderId="0" xfId="6" applyFont="1" applyFill="1" applyAlignment="1">
      <alignment vertical="center"/>
    </xf>
    <xf numFmtId="171" fontId="11" fillId="0" borderId="0" xfId="1" applyNumberFormat="1" applyFont="1" applyAlignment="1">
      <alignment vertical="center"/>
    </xf>
    <xf numFmtId="172" fontId="11" fillId="0" borderId="0" xfId="11" applyNumberFormat="1" applyFont="1" applyAlignment="1">
      <alignment vertical="center"/>
    </xf>
    <xf numFmtId="170" fontId="9" fillId="2" borderId="0" xfId="7" applyNumberFormat="1" applyFont="1" applyFill="1"/>
    <xf numFmtId="1" fontId="20" fillId="4" borderId="1" xfId="9" applyNumberFormat="1" applyFont="1" applyFill="1" applyBorder="1" applyAlignment="1">
      <alignment horizontal="left" vertical="center"/>
    </xf>
    <xf numFmtId="1" fontId="21" fillId="4" borderId="3" xfId="9" applyNumberFormat="1" applyFont="1" applyFill="1" applyBorder="1" applyAlignment="1">
      <alignment horizontal="center" vertical="center"/>
    </xf>
    <xf numFmtId="171" fontId="12" fillId="0" borderId="0" xfId="1" quotePrefix="1" applyNumberFormat="1" applyFont="1" applyAlignment="1">
      <alignment vertical="center"/>
    </xf>
    <xf numFmtId="0" fontId="12" fillId="0" borderId="0" xfId="6" applyFont="1" applyAlignment="1">
      <alignment vertical="center"/>
    </xf>
    <xf numFmtId="171" fontId="12" fillId="0" borderId="0" xfId="1" applyNumberFormat="1" applyFont="1" applyAlignment="1">
      <alignment vertical="center"/>
    </xf>
    <xf numFmtId="0" fontId="12" fillId="3" borderId="0" xfId="6" applyFont="1" applyFill="1" applyAlignment="1">
      <alignment vertical="center"/>
    </xf>
    <xf numFmtId="0" fontId="12" fillId="0" borderId="0" xfId="6" applyFont="1" applyAlignment="1">
      <alignment horizontal="left" vertical="center"/>
    </xf>
    <xf numFmtId="0" fontId="21" fillId="4" borderId="4" xfId="9" applyFont="1" applyFill="1" applyBorder="1" applyAlignment="1">
      <alignment horizontal="center" vertical="center"/>
    </xf>
    <xf numFmtId="41" fontId="12" fillId="0" borderId="5" xfId="1" applyNumberFormat="1" applyFont="1" applyFill="1" applyBorder="1" applyAlignment="1">
      <alignment horizontal="center" vertical="center"/>
    </xf>
    <xf numFmtId="171" fontId="12" fillId="0" borderId="5" xfId="1" applyNumberFormat="1" applyFont="1" applyFill="1" applyBorder="1" applyAlignment="1">
      <alignment horizontal="center" vertical="center"/>
    </xf>
    <xf numFmtId="41" fontId="12" fillId="5" borderId="6" xfId="1" applyNumberFormat="1" applyFont="1" applyFill="1" applyBorder="1" applyAlignment="1">
      <alignment horizontal="center" vertical="center"/>
    </xf>
    <xf numFmtId="171" fontId="12" fillId="5" borderId="6" xfId="1" applyNumberFormat="1" applyFont="1" applyFill="1" applyBorder="1" applyAlignment="1">
      <alignment horizontal="center" vertical="center"/>
    </xf>
    <xf numFmtId="171" fontId="13" fillId="0" borderId="0" xfId="1" quotePrefix="1" applyNumberFormat="1" applyFont="1" applyAlignment="1">
      <alignment vertical="center"/>
    </xf>
    <xf numFmtId="0" fontId="13" fillId="0" borderId="0" xfId="6" applyFont="1" applyAlignment="1">
      <alignment vertical="center"/>
    </xf>
    <xf numFmtId="171" fontId="13" fillId="0" borderId="0" xfId="1" applyNumberFormat="1" applyFont="1" applyAlignment="1">
      <alignment vertical="center"/>
    </xf>
    <xf numFmtId="0" fontId="13" fillId="3" borderId="0" xfId="6" applyFont="1" applyFill="1" applyAlignment="1">
      <alignment vertical="center"/>
    </xf>
    <xf numFmtId="171" fontId="12" fillId="0" borderId="0" xfId="1" quotePrefix="1" applyNumberFormat="1" applyFont="1" applyBorder="1" applyAlignment="1">
      <alignment vertical="center"/>
    </xf>
    <xf numFmtId="0" fontId="12" fillId="0" borderId="0" xfId="6" applyFont="1" applyBorder="1" applyAlignment="1">
      <alignment vertical="center"/>
    </xf>
    <xf numFmtId="171" fontId="12" fillId="0" borderId="0" xfId="1" applyNumberFormat="1" applyFont="1" applyBorder="1" applyAlignment="1">
      <alignment vertical="center"/>
    </xf>
    <xf numFmtId="0" fontId="12" fillId="3" borderId="0" xfId="6" applyFont="1" applyFill="1" applyBorder="1" applyAlignment="1">
      <alignment vertical="center"/>
    </xf>
    <xf numFmtId="0" fontId="22" fillId="4" borderId="2" xfId="6" applyFont="1" applyFill="1" applyBorder="1" applyAlignment="1">
      <alignment vertical="center"/>
    </xf>
    <xf numFmtId="171" fontId="14" fillId="0" borderId="0" xfId="1" quotePrefix="1" applyNumberFormat="1" applyFont="1" applyAlignment="1">
      <alignment vertical="center"/>
    </xf>
    <xf numFmtId="0" fontId="14" fillId="0" borderId="0" xfId="6" applyFont="1" applyAlignment="1">
      <alignment vertical="center"/>
    </xf>
    <xf numFmtId="171" fontId="14" fillId="0" borderId="0" xfId="1" applyNumberFormat="1" applyFont="1" applyAlignment="1">
      <alignment vertical="center"/>
    </xf>
    <xf numFmtId="0" fontId="14" fillId="3" borderId="0" xfId="6" applyFont="1" applyFill="1" applyAlignment="1">
      <alignment vertical="center"/>
    </xf>
    <xf numFmtId="1" fontId="20" fillId="4" borderId="7" xfId="9" applyNumberFormat="1" applyFont="1" applyFill="1" applyBorder="1" applyAlignment="1">
      <alignment horizontal="center"/>
    </xf>
    <xf numFmtId="1" fontId="23" fillId="4" borderId="3" xfId="9" applyNumberFormat="1" applyFont="1" applyFill="1" applyBorder="1" applyAlignment="1">
      <alignment horizontal="center" vertical="center"/>
    </xf>
    <xf numFmtId="0" fontId="15" fillId="5" borderId="8" xfId="8" applyFont="1" applyFill="1" applyBorder="1" applyAlignment="1">
      <alignment horizontal="center"/>
    </xf>
    <xf numFmtId="0" fontId="16" fillId="5" borderId="9" xfId="8" applyFont="1" applyFill="1" applyBorder="1" applyAlignment="1">
      <alignment horizontal="left"/>
    </xf>
    <xf numFmtId="0" fontId="15" fillId="2" borderId="10" xfId="8" applyFont="1" applyFill="1" applyBorder="1" applyAlignment="1">
      <alignment horizontal="center"/>
    </xf>
    <xf numFmtId="0" fontId="16" fillId="2" borderId="11" xfId="8" applyFont="1" applyFill="1" applyBorder="1" applyAlignment="1">
      <alignment horizontal="left"/>
    </xf>
    <xf numFmtId="0" fontId="15" fillId="5" borderId="10" xfId="8" applyFont="1" applyFill="1" applyBorder="1" applyAlignment="1">
      <alignment horizontal="center"/>
    </xf>
    <xf numFmtId="0" fontId="16" fillId="5" borderId="11" xfId="8" applyFont="1" applyFill="1" applyBorder="1" applyAlignment="1">
      <alignment horizontal="left"/>
    </xf>
    <xf numFmtId="37" fontId="23" fillId="4" borderId="13" xfId="0" applyNumberFormat="1" applyFont="1" applyFill="1" applyBorder="1" applyAlignment="1">
      <alignment horizontal="center" vertical="center" wrapText="1"/>
    </xf>
    <xf numFmtId="37" fontId="23" fillId="4" borderId="14" xfId="0" applyNumberFormat="1" applyFont="1" applyFill="1" applyBorder="1" applyAlignment="1">
      <alignment horizontal="center" vertical="center" wrapText="1"/>
    </xf>
    <xf numFmtId="37" fontId="23" fillId="4" borderId="15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17" xfId="0" applyFont="1" applyFill="1" applyBorder="1"/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/>
    <xf numFmtId="0" fontId="17" fillId="5" borderId="18" xfId="0" applyFont="1" applyFill="1" applyBorder="1" applyAlignment="1">
      <alignment horizontal="center" vertical="center"/>
    </xf>
    <xf numFmtId="0" fontId="17" fillId="5" borderId="19" xfId="0" applyFont="1" applyFill="1" applyBorder="1"/>
    <xf numFmtId="0" fontId="17" fillId="2" borderId="19" xfId="0" applyFont="1" applyFill="1" applyBorder="1" applyAlignment="1">
      <alignment wrapText="1"/>
    </xf>
    <xf numFmtId="0" fontId="17" fillId="5" borderId="19" xfId="9" applyFont="1" applyFill="1" applyBorder="1" applyAlignment="1"/>
    <xf numFmtId="0" fontId="17" fillId="2" borderId="19" xfId="9" applyFont="1" applyFill="1" applyBorder="1" applyAlignment="1"/>
    <xf numFmtId="0" fontId="17" fillId="5" borderId="19" xfId="0" applyFont="1" applyFill="1" applyBorder="1" applyAlignment="1">
      <alignment wrapText="1"/>
    </xf>
    <xf numFmtId="0" fontId="17" fillId="2" borderId="20" xfId="0" applyFont="1" applyFill="1" applyBorder="1" applyAlignment="1">
      <alignment wrapText="1"/>
    </xf>
    <xf numFmtId="0" fontId="17" fillId="5" borderId="21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22" xfId="9" applyFont="1" applyFill="1" applyBorder="1" applyAlignment="1">
      <alignment horizontal="center" vertical="center"/>
    </xf>
    <xf numFmtId="0" fontId="17" fillId="2" borderId="22" xfId="9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24" fillId="4" borderId="3" xfId="9" applyFont="1" applyFill="1" applyBorder="1" applyAlignment="1">
      <alignment horizontal="center" vertical="center"/>
    </xf>
    <xf numFmtId="3" fontId="24" fillId="4" borderId="3" xfId="2" applyNumberFormat="1" applyFont="1" applyFill="1" applyBorder="1" applyAlignment="1">
      <alignment horizontal="center" vertical="center" wrapText="1" shrinkToFit="1"/>
    </xf>
    <xf numFmtId="0" fontId="25" fillId="6" borderId="24" xfId="9" applyFont="1" applyFill="1" applyBorder="1" applyAlignment="1">
      <alignment horizontal="center" vertical="center"/>
    </xf>
    <xf numFmtId="0" fontId="26" fillId="3" borderId="25" xfId="9" applyFont="1" applyFill="1" applyBorder="1" applyAlignment="1">
      <alignment horizontal="center" vertical="center"/>
    </xf>
    <xf numFmtId="0" fontId="26" fillId="5" borderId="25" xfId="9" applyFont="1" applyFill="1" applyBorder="1" applyAlignment="1">
      <alignment horizontal="center" vertical="center"/>
    </xf>
    <xf numFmtId="0" fontId="26" fillId="3" borderId="26" xfId="9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0" xfId="7" applyFont="1" applyFill="1" applyBorder="1" applyAlignment="1">
      <alignment horizontal="center" vertical="center"/>
    </xf>
    <xf numFmtId="0" fontId="19" fillId="2" borderId="0" xfId="7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26" fillId="6" borderId="27" xfId="9" applyFont="1" applyFill="1" applyBorder="1" applyAlignment="1">
      <alignment horizontal="center" vertical="center"/>
    </xf>
    <xf numFmtId="0" fontId="17" fillId="2" borderId="0" xfId="7" applyFont="1" applyFill="1" applyAlignment="1">
      <alignment horizontal="center" vertical="center"/>
    </xf>
    <xf numFmtId="0" fontId="26" fillId="3" borderId="10" xfId="9" applyFont="1" applyFill="1" applyBorder="1" applyAlignment="1">
      <alignment horizontal="center" vertical="center"/>
    </xf>
    <xf numFmtId="0" fontId="26" fillId="5" borderId="10" xfId="9" applyFont="1" applyFill="1" applyBorder="1" applyAlignment="1">
      <alignment horizontal="center" vertical="center"/>
    </xf>
    <xf numFmtId="0" fontId="26" fillId="3" borderId="12" xfId="9" applyFont="1" applyFill="1" applyBorder="1" applyAlignment="1">
      <alignment horizontal="center" vertical="center"/>
    </xf>
    <xf numFmtId="0" fontId="25" fillId="6" borderId="24" xfId="9" applyFont="1" applyFill="1" applyBorder="1" applyAlignment="1">
      <alignment horizontal="left" vertical="center"/>
    </xf>
    <xf numFmtId="0" fontId="26" fillId="3" borderId="25" xfId="9" applyFont="1" applyFill="1" applyBorder="1" applyAlignment="1">
      <alignment horizontal="left" vertical="center"/>
    </xf>
    <xf numFmtId="0" fontId="26" fillId="5" borderId="25" xfId="9" applyFont="1" applyFill="1" applyBorder="1" applyAlignment="1">
      <alignment horizontal="left" vertical="center"/>
    </xf>
    <xf numFmtId="0" fontId="26" fillId="3" borderId="26" xfId="9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24" fillId="4" borderId="3" xfId="9" applyFont="1" applyFill="1" applyBorder="1" applyAlignment="1">
      <alignment horizontal="center" vertical="center"/>
    </xf>
    <xf numFmtId="172" fontId="11" fillId="0" borderId="0" xfId="11" applyNumberFormat="1" applyFont="1" applyBorder="1" applyAlignment="1">
      <alignment vertical="center"/>
    </xf>
    <xf numFmtId="171" fontId="18" fillId="6" borderId="28" xfId="1" applyNumberFormat="1" applyFont="1" applyFill="1" applyBorder="1" applyAlignment="1">
      <alignment horizontal="center" vertical="center"/>
    </xf>
    <xf numFmtId="171" fontId="17" fillId="3" borderId="11" xfId="1" applyNumberFormat="1" applyFont="1" applyFill="1" applyBorder="1" applyAlignment="1">
      <alignment horizontal="center" vertical="center"/>
    </xf>
    <xf numFmtId="171" fontId="17" fillId="5" borderId="11" xfId="1" applyNumberFormat="1" applyFont="1" applyFill="1" applyBorder="1" applyAlignment="1">
      <alignment horizontal="center" vertical="center"/>
    </xf>
    <xf numFmtId="171" fontId="17" fillId="3" borderId="29" xfId="1" applyNumberFormat="1" applyFont="1" applyFill="1" applyBorder="1" applyAlignment="1">
      <alignment horizontal="center" vertical="center"/>
    </xf>
    <xf numFmtId="174" fontId="18" fillId="6" borderId="24" xfId="4" applyNumberFormat="1" applyFont="1" applyFill="1" applyBorder="1" applyAlignment="1">
      <alignment horizontal="center" vertical="center"/>
    </xf>
    <xf numFmtId="174" fontId="17" fillId="3" borderId="25" xfId="4" applyNumberFormat="1" applyFont="1" applyFill="1" applyBorder="1" applyAlignment="1">
      <alignment horizontal="center" vertical="center"/>
    </xf>
    <xf numFmtId="174" fontId="17" fillId="5" borderId="25" xfId="4" applyNumberFormat="1" applyFont="1" applyFill="1" applyBorder="1" applyAlignment="1">
      <alignment horizontal="center" vertical="center"/>
    </xf>
    <xf numFmtId="174" fontId="17" fillId="3" borderId="26" xfId="4" applyNumberFormat="1" applyFont="1" applyFill="1" applyBorder="1" applyAlignment="1">
      <alignment horizontal="center" vertical="center"/>
    </xf>
    <xf numFmtId="174" fontId="17" fillId="2" borderId="0" xfId="7" applyNumberFormat="1" applyFont="1" applyFill="1" applyAlignment="1">
      <alignment horizontal="center" vertical="center"/>
    </xf>
    <xf numFmtId="171" fontId="17" fillId="2" borderId="0" xfId="1" applyNumberFormat="1" applyFont="1" applyFill="1" applyAlignment="1">
      <alignment horizontal="center" vertical="center"/>
    </xf>
    <xf numFmtId="171" fontId="12" fillId="0" borderId="0" xfId="1" quotePrefix="1" applyNumberFormat="1" applyFont="1" applyAlignment="1"/>
    <xf numFmtId="172" fontId="12" fillId="5" borderId="5" xfId="10" applyNumberFormat="1" applyFont="1" applyFill="1" applyBorder="1" applyAlignment="1">
      <alignment vertical="center"/>
    </xf>
    <xf numFmtId="172" fontId="12" fillId="0" borderId="5" xfId="10" applyNumberFormat="1" applyFont="1" applyFill="1" applyBorder="1" applyAlignment="1">
      <alignment vertical="center"/>
    </xf>
    <xf numFmtId="0" fontId="21" fillId="4" borderId="4" xfId="9" applyFont="1" applyFill="1" applyBorder="1" applyAlignment="1">
      <alignment horizontal="center"/>
    </xf>
    <xf numFmtId="171" fontId="12" fillId="0" borderId="0" xfId="1" quotePrefix="1" applyNumberFormat="1" applyFont="1" applyBorder="1" applyAlignment="1"/>
    <xf numFmtId="0" fontId="12" fillId="0" borderId="0" xfId="6" applyFont="1" applyBorder="1" applyAlignment="1"/>
    <xf numFmtId="171" fontId="12" fillId="0" borderId="0" xfId="1" applyNumberFormat="1" applyFont="1" applyBorder="1" applyAlignment="1"/>
    <xf numFmtId="0" fontId="12" fillId="3" borderId="0" xfId="6" applyFont="1" applyFill="1" applyBorder="1" applyAlignment="1"/>
    <xf numFmtId="0" fontId="12" fillId="0" borderId="0" xfId="6" applyFont="1" applyAlignment="1"/>
    <xf numFmtId="171" fontId="12" fillId="0" borderId="0" xfId="1" applyNumberFormat="1" applyFont="1" applyAlignment="1"/>
    <xf numFmtId="0" fontId="12" fillId="3" borderId="0" xfId="6" applyFont="1" applyFill="1" applyAlignment="1"/>
    <xf numFmtId="0" fontId="12" fillId="0" borderId="0" xfId="6" applyFont="1" applyAlignment="1">
      <alignment horizontal="left"/>
    </xf>
    <xf numFmtId="173" fontId="12" fillId="0" borderId="5" xfId="4" applyNumberFormat="1" applyFont="1" applyFill="1" applyBorder="1" applyAlignment="1">
      <alignment horizontal="center"/>
    </xf>
    <xf numFmtId="173" fontId="12" fillId="0" borderId="0" xfId="4" quotePrefix="1" applyNumberFormat="1" applyFont="1" applyAlignment="1"/>
    <xf numFmtId="173" fontId="12" fillId="5" borderId="6" xfId="4" applyNumberFormat="1" applyFont="1" applyFill="1" applyBorder="1" applyAlignment="1">
      <alignment horizontal="center"/>
    </xf>
    <xf numFmtId="0" fontId="11" fillId="0" borderId="2" xfId="6" applyFont="1" applyBorder="1" applyAlignment="1">
      <alignment vertical="center"/>
    </xf>
    <xf numFmtId="0" fontId="21" fillId="4" borderId="48" xfId="9" applyFont="1" applyFill="1" applyBorder="1" applyAlignment="1">
      <alignment horizontal="center" vertical="center"/>
    </xf>
    <xf numFmtId="171" fontId="12" fillId="0" borderId="47" xfId="1" applyNumberFormat="1" applyFont="1" applyFill="1" applyBorder="1" applyAlignment="1">
      <alignment vertical="center"/>
    </xf>
    <xf numFmtId="171" fontId="12" fillId="5" borderId="47" xfId="1" applyNumberFormat="1" applyFont="1" applyFill="1" applyBorder="1" applyAlignment="1">
      <alignment vertical="center"/>
    </xf>
    <xf numFmtId="172" fontId="12" fillId="0" borderId="52" xfId="10" applyNumberFormat="1" applyFont="1" applyFill="1" applyBorder="1" applyAlignment="1">
      <alignment vertical="center"/>
    </xf>
    <xf numFmtId="172" fontId="12" fillId="5" borderId="52" xfId="10" applyNumberFormat="1" applyFont="1" applyFill="1" applyBorder="1" applyAlignment="1">
      <alignment vertical="center"/>
    </xf>
    <xf numFmtId="0" fontId="21" fillId="4" borderId="48" xfId="9" applyFont="1" applyFill="1" applyBorder="1" applyAlignment="1">
      <alignment horizontal="center"/>
    </xf>
    <xf numFmtId="173" fontId="12" fillId="0" borderId="47" xfId="4" applyNumberFormat="1" applyFont="1" applyFill="1" applyBorder="1" applyAlignment="1"/>
    <xf numFmtId="173" fontId="12" fillId="5" borderId="47" xfId="4" applyNumberFormat="1" applyFont="1" applyFill="1" applyBorder="1" applyAlignment="1"/>
    <xf numFmtId="0" fontId="24" fillId="4" borderId="3" xfId="9" applyFont="1" applyFill="1" applyBorder="1" applyAlignment="1">
      <alignment horizontal="center" vertical="center"/>
    </xf>
    <xf numFmtId="174" fontId="24" fillId="4" borderId="3" xfId="9" applyNumberFormat="1" applyFont="1" applyFill="1" applyBorder="1" applyAlignment="1">
      <alignment horizontal="center" vertical="center"/>
    </xf>
    <xf numFmtId="171" fontId="24" fillId="4" borderId="31" xfId="1" applyNumberFormat="1" applyFont="1" applyFill="1" applyBorder="1" applyAlignment="1">
      <alignment horizontal="center" vertical="center"/>
    </xf>
    <xf numFmtId="174" fontId="24" fillId="4" borderId="53" xfId="2" applyNumberFormat="1" applyFont="1" applyFill="1" applyBorder="1" applyAlignment="1">
      <alignment horizontal="center" vertical="center" wrapText="1" shrinkToFit="1"/>
    </xf>
    <xf numFmtId="171" fontId="24" fillId="4" borderId="54" xfId="1" applyNumberFormat="1" applyFont="1" applyFill="1" applyBorder="1" applyAlignment="1">
      <alignment horizontal="center" vertical="center" wrapText="1" shrinkToFit="1"/>
    </xf>
    <xf numFmtId="171" fontId="24" fillId="4" borderId="56" xfId="1" applyNumberFormat="1" applyFont="1" applyFill="1" applyBorder="1" applyAlignment="1">
      <alignment horizontal="center" vertical="center"/>
    </xf>
    <xf numFmtId="171" fontId="24" fillId="4" borderId="57" xfId="1" applyNumberFormat="1" applyFont="1" applyFill="1" applyBorder="1" applyAlignment="1">
      <alignment horizontal="center" vertical="center" wrapText="1" shrinkToFit="1"/>
    </xf>
    <xf numFmtId="174" fontId="24" fillId="4" borderId="59" xfId="2" applyNumberFormat="1" applyFont="1" applyFill="1" applyBorder="1" applyAlignment="1">
      <alignment horizontal="center" vertical="center" wrapText="1" shrinkToFit="1"/>
    </xf>
    <xf numFmtId="171" fontId="24" fillId="4" borderId="53" xfId="1" applyNumberFormat="1" applyFont="1" applyFill="1" applyBorder="1" applyAlignment="1">
      <alignment horizontal="center" vertical="center" wrapText="1" shrinkToFit="1"/>
    </xf>
    <xf numFmtId="171" fontId="24" fillId="4" borderId="3" xfId="1" applyNumberFormat="1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/>
    </xf>
    <xf numFmtId="1" fontId="21" fillId="4" borderId="34" xfId="9" applyNumberFormat="1" applyFont="1" applyFill="1" applyBorder="1" applyAlignment="1">
      <alignment horizontal="center" vertical="center"/>
    </xf>
    <xf numFmtId="1" fontId="21" fillId="4" borderId="35" xfId="9" applyNumberFormat="1" applyFont="1" applyFill="1" applyBorder="1" applyAlignment="1">
      <alignment horizontal="center" vertical="center"/>
    </xf>
    <xf numFmtId="1" fontId="21" fillId="4" borderId="33" xfId="9" applyNumberFormat="1" applyFont="1" applyFill="1" applyBorder="1" applyAlignment="1">
      <alignment horizontal="center" vertical="center" wrapText="1"/>
    </xf>
    <xf numFmtId="169" fontId="21" fillId="4" borderId="34" xfId="9" applyNumberFormat="1" applyFont="1" applyFill="1" applyBorder="1" applyAlignment="1">
      <alignment horizontal="center" vertical="center"/>
    </xf>
    <xf numFmtId="169" fontId="21" fillId="4" borderId="35" xfId="9" applyNumberFormat="1" applyFont="1" applyFill="1" applyBorder="1" applyAlignment="1">
      <alignment horizontal="center" vertical="center"/>
    </xf>
    <xf numFmtId="1" fontId="21" fillId="4" borderId="49" xfId="9" applyNumberFormat="1" applyFont="1" applyFill="1" applyBorder="1" applyAlignment="1">
      <alignment horizontal="center" vertical="center" wrapText="1"/>
    </xf>
    <xf numFmtId="1" fontId="21" fillId="4" borderId="50" xfId="9" applyNumberFormat="1" applyFont="1" applyFill="1" applyBorder="1" applyAlignment="1">
      <alignment horizontal="center" vertical="center" wrapText="1"/>
    </xf>
    <xf numFmtId="1" fontId="21" fillId="4" borderId="51" xfId="9" applyNumberFormat="1" applyFont="1" applyFill="1" applyBorder="1" applyAlignment="1">
      <alignment horizontal="center" vertical="center" wrapText="1"/>
    </xf>
    <xf numFmtId="1" fontId="24" fillId="4" borderId="36" xfId="9" applyNumberFormat="1" applyFont="1" applyFill="1" applyBorder="1" applyAlignment="1">
      <alignment horizontal="center" vertical="center"/>
    </xf>
    <xf numFmtId="1" fontId="24" fillId="4" borderId="35" xfId="9" applyNumberFormat="1" applyFont="1" applyFill="1" applyBorder="1" applyAlignment="1">
      <alignment horizontal="center" vertical="center"/>
    </xf>
    <xf numFmtId="1" fontId="24" fillId="4" borderId="37" xfId="9" applyNumberFormat="1" applyFont="1" applyFill="1" applyBorder="1" applyAlignment="1">
      <alignment horizontal="center" vertical="center"/>
    </xf>
    <xf numFmtId="174" fontId="24" fillId="4" borderId="7" xfId="9" applyNumberFormat="1" applyFont="1" applyFill="1" applyBorder="1" applyAlignment="1">
      <alignment horizontal="center" vertical="center"/>
    </xf>
    <xf numFmtId="174" fontId="24" fillId="4" borderId="30" xfId="9" applyNumberFormat="1" applyFont="1" applyFill="1" applyBorder="1" applyAlignment="1">
      <alignment horizontal="center" vertical="center"/>
    </xf>
    <xf numFmtId="1" fontId="24" fillId="4" borderId="38" xfId="9" applyNumberFormat="1" applyFont="1" applyFill="1" applyBorder="1" applyAlignment="1">
      <alignment horizontal="center" vertical="center"/>
    </xf>
    <xf numFmtId="1" fontId="24" fillId="4" borderId="39" xfId="9" applyNumberFormat="1" applyFont="1" applyFill="1" applyBorder="1" applyAlignment="1">
      <alignment horizontal="center" vertical="center"/>
    </xf>
    <xf numFmtId="0" fontId="24" fillId="4" borderId="7" xfId="9" applyFont="1" applyFill="1" applyBorder="1" applyAlignment="1">
      <alignment horizontal="center" vertical="center"/>
    </xf>
    <xf numFmtId="0" fontId="24" fillId="4" borderId="3" xfId="9" applyFont="1" applyFill="1" applyBorder="1" applyAlignment="1">
      <alignment horizontal="center" vertical="center"/>
    </xf>
    <xf numFmtId="1" fontId="20" fillId="4" borderId="40" xfId="9" applyNumberFormat="1" applyFont="1" applyFill="1" applyBorder="1" applyAlignment="1">
      <alignment horizontal="center" vertical="center"/>
    </xf>
    <xf numFmtId="1" fontId="20" fillId="4" borderId="41" xfId="9" applyNumberFormat="1" applyFont="1" applyFill="1" applyBorder="1" applyAlignment="1">
      <alignment horizontal="center" vertical="center"/>
    </xf>
    <xf numFmtId="174" fontId="27" fillId="4" borderId="41" xfId="9" applyNumberFormat="1" applyFont="1" applyFill="1" applyBorder="1" applyAlignment="1">
      <alignment horizontal="center" vertical="center"/>
    </xf>
    <xf numFmtId="174" fontId="27" fillId="4" borderId="42" xfId="9" applyNumberFormat="1" applyFont="1" applyFill="1" applyBorder="1" applyAlignment="1">
      <alignment horizontal="center" vertical="center"/>
    </xf>
    <xf numFmtId="1" fontId="24" fillId="4" borderId="7" xfId="9" applyNumberFormat="1" applyFont="1" applyFill="1" applyBorder="1" applyAlignment="1">
      <alignment horizontal="center" vertical="center"/>
    </xf>
    <xf numFmtId="0" fontId="26" fillId="3" borderId="43" xfId="9" applyFont="1" applyFill="1" applyBorder="1" applyAlignment="1">
      <alignment horizontal="center" vertical="center"/>
    </xf>
    <xf numFmtId="0" fontId="26" fillId="3" borderId="44" xfId="9" applyFont="1" applyFill="1" applyBorder="1" applyAlignment="1">
      <alignment horizontal="center" vertical="center"/>
    </xf>
    <xf numFmtId="0" fontId="26" fillId="5" borderId="45" xfId="9" applyFont="1" applyFill="1" applyBorder="1" applyAlignment="1">
      <alignment horizontal="center" vertical="center"/>
    </xf>
    <xf numFmtId="0" fontId="26" fillId="5" borderId="46" xfId="9" applyFont="1" applyFill="1" applyBorder="1" applyAlignment="1">
      <alignment horizontal="center" vertical="center"/>
    </xf>
    <xf numFmtId="174" fontId="27" fillId="4" borderId="55" xfId="9" applyNumberFormat="1" applyFont="1" applyFill="1" applyBorder="1" applyAlignment="1">
      <alignment horizontal="center" vertical="center"/>
    </xf>
    <xf numFmtId="174" fontId="24" fillId="4" borderId="34" xfId="9" applyNumberFormat="1" applyFont="1" applyFill="1" applyBorder="1" applyAlignment="1">
      <alignment horizontal="center" vertical="center"/>
    </xf>
    <xf numFmtId="174" fontId="27" fillId="4" borderId="58" xfId="9" applyNumberFormat="1" applyFont="1" applyFill="1" applyBorder="1" applyAlignment="1">
      <alignment horizontal="center" vertical="center"/>
    </xf>
    <xf numFmtId="174" fontId="24" fillId="4" borderId="37" xfId="9" applyNumberFormat="1" applyFont="1" applyFill="1" applyBorder="1" applyAlignment="1">
      <alignment horizontal="center" vertical="center"/>
    </xf>
    <xf numFmtId="0" fontId="15" fillId="2" borderId="12" xfId="8" applyFont="1" applyFill="1" applyBorder="1" applyAlignment="1">
      <alignment horizontal="center"/>
    </xf>
    <xf numFmtId="0" fontId="16" fillId="2" borderId="29" xfId="8" applyFont="1" applyFill="1" applyBorder="1" applyAlignment="1">
      <alignment horizontal="left"/>
    </xf>
    <xf numFmtId="0" fontId="29" fillId="5" borderId="11" xfId="12" applyFont="1" applyFill="1" applyBorder="1" applyAlignment="1">
      <alignment horizontal="left"/>
    </xf>
  </cellXfs>
  <cellStyles count="13">
    <cellStyle name="Hipervínculo" xfId="12" builtinId="8"/>
    <cellStyle name="Millares" xfId="1" builtinId="3"/>
    <cellStyle name="Millares [0]_Siniestros AUTOS 97-98" xfId="2"/>
    <cellStyle name="Millares 2" xfId="3"/>
    <cellStyle name="Moneda" xfId="4" builtinId="4"/>
    <cellStyle name="Moneda 2" xfId="5"/>
    <cellStyle name="Normal" xfId="0" builtinId="0"/>
    <cellStyle name="Normal 2" xfId="6"/>
    <cellStyle name="Normal_245 98-99" xfId="7"/>
    <cellStyle name="Normal_CircularTP" xfId="8"/>
    <cellStyle name="Normal_Siniestros AUTOS 97-98" xfId="9"/>
    <cellStyle name="Porcentaje" xfId="10" builtinId="5"/>
    <cellStyle name="Porcentaje 2" xfId="11"/>
  </cellStyles>
  <dxfs count="0"/>
  <tableStyles count="0" defaultTableStyle="TableStyleMedium2" defaultPivotStyle="PivotStyleLight16"/>
  <colors>
    <mruColors>
      <color rgb="FFDCE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/>
  </sheetViews>
  <sheetFormatPr baseColWidth="10" defaultRowHeight="12.75"/>
  <cols>
    <col min="1" max="1" width="29.85546875" style="2" bestFit="1" customWidth="1"/>
    <col min="2" max="2" width="63.28515625" style="3" customWidth="1"/>
    <col min="3" max="3" width="11.42578125" style="2"/>
    <col min="4" max="5" width="14.42578125" style="2" customWidth="1"/>
    <col min="6" max="16384" width="11.42578125" style="2"/>
  </cols>
  <sheetData>
    <row r="1" spans="1:2" ht="18">
      <c r="A1" s="42" t="s">
        <v>123</v>
      </c>
      <c r="B1" s="42" t="s">
        <v>124</v>
      </c>
    </row>
    <row r="2" spans="1:2" ht="15.75">
      <c r="A2" s="43" t="s">
        <v>134</v>
      </c>
      <c r="B2" s="43" t="s">
        <v>53</v>
      </c>
    </row>
    <row r="3" spans="1:2" ht="22.5" customHeight="1">
      <c r="A3" s="44" t="s">
        <v>121</v>
      </c>
      <c r="B3" s="45" t="s">
        <v>54</v>
      </c>
    </row>
    <row r="4" spans="1:2" ht="24.75" customHeight="1">
      <c r="A4" s="46" t="s">
        <v>122</v>
      </c>
      <c r="B4" s="47" t="s">
        <v>120</v>
      </c>
    </row>
    <row r="5" spans="1:2" ht="24.75" customHeight="1">
      <c r="A5" s="48" t="s">
        <v>154</v>
      </c>
      <c r="B5" s="174" t="s">
        <v>155</v>
      </c>
    </row>
    <row r="6" spans="1:2" ht="24.75" customHeight="1">
      <c r="A6" s="48" t="s">
        <v>146</v>
      </c>
      <c r="B6" s="49" t="s">
        <v>148</v>
      </c>
    </row>
    <row r="7" spans="1:2" ht="24.75" customHeight="1">
      <c r="A7" s="46" t="s">
        <v>147</v>
      </c>
      <c r="B7" s="47" t="s">
        <v>149</v>
      </c>
    </row>
    <row r="8" spans="1:2" ht="24.75" customHeight="1">
      <c r="A8" s="48" t="s">
        <v>130</v>
      </c>
      <c r="B8" s="49" t="s">
        <v>129</v>
      </c>
    </row>
    <row r="9" spans="1:2" ht="24.75" customHeight="1" thickBot="1">
      <c r="A9" s="172" t="s">
        <v>125</v>
      </c>
      <c r="B9" s="173" t="s">
        <v>128</v>
      </c>
    </row>
  </sheetData>
  <phoneticPr fontId="8" type="noConversion"/>
  <hyperlinks>
    <hyperlink ref="B3" location="definiciones!A1" display="definiciones!A1"/>
    <hyperlink ref="B9" location="'2020 - 2021'!A1" display="Siniestros ocurridos en el ejercicio 2020 / 2021"/>
    <hyperlink ref="B4" location="'2018 - 2019'!Títulos_a_imprimir" display="Siniestros ocurridos en el ejercicio 2017 / 2018"/>
    <hyperlink ref="B8" location="'2021 - 2022'!A1" display="Siniestros ocurridos en el ejercicio 2021 / 2022"/>
    <hyperlink ref="B7" location="'2022 - 2023'!A1" display="Siniestros ocurridos en el ejercicio 2022 / 2023"/>
    <hyperlink ref="B6" location="'2023 - 2024'!A1" display="Siniestros ocurridos en el ejercicio 2023 / 2024"/>
    <hyperlink ref="B5" location="'2024 - 2025'!A1" display="Siniestros ocurridos en el ejercicio 2023 / 2024"/>
  </hyperlinks>
  <pageMargins left="0.74803149606299213" right="0.74803149606299213" top="1.3779527559055118" bottom="0.98425196850393704" header="0" footer="0"/>
  <pageSetup paperSize="9" orientation="portrait" r:id="rId1"/>
  <headerFooter>
    <oddHeader>&amp;L&amp;G&amp;R&amp;G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7"/>
  <sheetViews>
    <sheetView zoomScale="85" zoomScaleNormal="85" workbookViewId="0"/>
  </sheetViews>
  <sheetFormatPr baseColWidth="10" defaultRowHeight="12.75"/>
  <cols>
    <col min="1" max="1" width="21.85546875" style="53" customWidth="1"/>
    <col min="2" max="2" width="73.140625" style="2" customWidth="1"/>
    <col min="3" max="3" width="11.42578125" style="53"/>
    <col min="4" max="16384" width="11.42578125" style="2"/>
  </cols>
  <sheetData>
    <row r="2" spans="1:3" ht="15.75">
      <c r="A2" s="50" t="s">
        <v>135</v>
      </c>
      <c r="B2" s="51" t="s">
        <v>136</v>
      </c>
      <c r="C2" s="52" t="s">
        <v>137</v>
      </c>
    </row>
    <row r="3" spans="1:3" ht="15.75" customHeight="1">
      <c r="A3" s="54" t="s">
        <v>4</v>
      </c>
      <c r="B3" s="55" t="s">
        <v>96</v>
      </c>
      <c r="C3" s="65"/>
    </row>
    <row r="4" spans="1:3" ht="15.75" customHeight="1">
      <c r="A4" s="56" t="s">
        <v>14</v>
      </c>
      <c r="B4" s="57" t="s">
        <v>97</v>
      </c>
      <c r="C4" s="66"/>
    </row>
    <row r="5" spans="1:3" ht="15.75" customHeight="1">
      <c r="A5" s="58" t="s">
        <v>84</v>
      </c>
      <c r="B5" s="59" t="s">
        <v>93</v>
      </c>
      <c r="C5" s="67"/>
    </row>
    <row r="6" spans="1:3" ht="15.75" customHeight="1">
      <c r="A6" s="56" t="s">
        <v>15</v>
      </c>
      <c r="B6" s="57" t="s">
        <v>42</v>
      </c>
      <c r="C6" s="66"/>
    </row>
    <row r="7" spans="1:3" ht="15.75" customHeight="1">
      <c r="A7" s="58" t="s">
        <v>56</v>
      </c>
      <c r="B7" s="59" t="s">
        <v>85</v>
      </c>
      <c r="C7" s="67"/>
    </row>
    <row r="8" spans="1:3" ht="51">
      <c r="A8" s="56" t="s">
        <v>92</v>
      </c>
      <c r="B8" s="60" t="s">
        <v>94</v>
      </c>
      <c r="C8" s="66"/>
    </row>
    <row r="9" spans="1:3" ht="15.75" customHeight="1">
      <c r="A9" s="139" t="s">
        <v>41</v>
      </c>
      <c r="B9" s="61" t="s">
        <v>86</v>
      </c>
      <c r="C9" s="68">
        <v>1</v>
      </c>
    </row>
    <row r="10" spans="1:3" ht="15.75" customHeight="1">
      <c r="A10" s="139"/>
      <c r="B10" s="62" t="s">
        <v>87</v>
      </c>
      <c r="C10" s="69">
        <v>2</v>
      </c>
    </row>
    <row r="11" spans="1:3" ht="15.75" customHeight="1">
      <c r="A11" s="139"/>
      <c r="B11" s="61" t="s">
        <v>88</v>
      </c>
      <c r="C11" s="68">
        <v>3</v>
      </c>
    </row>
    <row r="12" spans="1:3" ht="15.75" customHeight="1">
      <c r="A12" s="139"/>
      <c r="B12" s="62" t="s">
        <v>6</v>
      </c>
      <c r="C12" s="69">
        <v>4</v>
      </c>
    </row>
    <row r="13" spans="1:3" ht="15.75" customHeight="1">
      <c r="A13" s="139"/>
      <c r="B13" s="61" t="s">
        <v>7</v>
      </c>
      <c r="C13" s="68">
        <v>5</v>
      </c>
    </row>
    <row r="14" spans="1:3" ht="15.75" customHeight="1">
      <c r="A14" s="139"/>
      <c r="B14" s="62" t="s">
        <v>8</v>
      </c>
      <c r="C14" s="69">
        <v>6</v>
      </c>
    </row>
    <row r="15" spans="1:3" ht="15.75" customHeight="1">
      <c r="A15" s="139"/>
      <c r="B15" s="61" t="s">
        <v>9</v>
      </c>
      <c r="C15" s="68">
        <v>7</v>
      </c>
    </row>
    <row r="16" spans="1:3" ht="15.75" customHeight="1">
      <c r="A16" s="139"/>
      <c r="B16" s="62" t="s">
        <v>10</v>
      </c>
      <c r="C16" s="69">
        <v>8</v>
      </c>
    </row>
    <row r="17" spans="1:3" ht="15.75" customHeight="1">
      <c r="A17" s="139"/>
      <c r="B17" s="61" t="s">
        <v>11</v>
      </c>
      <c r="C17" s="68">
        <v>9</v>
      </c>
    </row>
    <row r="18" spans="1:3" ht="15.75" customHeight="1">
      <c r="A18" s="140" t="s">
        <v>82</v>
      </c>
      <c r="B18" s="62" t="s">
        <v>57</v>
      </c>
      <c r="C18" s="69"/>
    </row>
    <row r="19" spans="1:3" ht="15.75" customHeight="1">
      <c r="A19" s="140"/>
      <c r="B19" s="61" t="s">
        <v>58</v>
      </c>
      <c r="C19" s="68"/>
    </row>
    <row r="20" spans="1:3" ht="15.75" customHeight="1">
      <c r="A20" s="140"/>
      <c r="B20" s="62" t="s">
        <v>59</v>
      </c>
      <c r="C20" s="69"/>
    </row>
    <row r="21" spans="1:3" ht="15.75" customHeight="1">
      <c r="A21" s="140"/>
      <c r="B21" s="61" t="s">
        <v>60</v>
      </c>
      <c r="C21" s="68"/>
    </row>
    <row r="22" spans="1:3" ht="15.75" customHeight="1">
      <c r="A22" s="140"/>
      <c r="B22" s="62" t="s">
        <v>61</v>
      </c>
      <c r="C22" s="69"/>
    </row>
    <row r="23" spans="1:3" ht="15.75" customHeight="1">
      <c r="A23" s="140"/>
      <c r="B23" s="61" t="s">
        <v>62</v>
      </c>
      <c r="C23" s="68"/>
    </row>
    <row r="24" spans="1:3" ht="15.75" customHeight="1">
      <c r="A24" s="140"/>
      <c r="B24" s="62" t="s">
        <v>63</v>
      </c>
      <c r="C24" s="69"/>
    </row>
    <row r="25" spans="1:3" ht="15.75" customHeight="1">
      <c r="A25" s="140"/>
      <c r="B25" s="61" t="s">
        <v>64</v>
      </c>
      <c r="C25" s="68"/>
    </row>
    <row r="26" spans="1:3" ht="15.75" customHeight="1">
      <c r="A26" s="140"/>
      <c r="B26" s="62" t="s">
        <v>65</v>
      </c>
      <c r="C26" s="69"/>
    </row>
    <row r="27" spans="1:3" ht="15.75" customHeight="1">
      <c r="A27" s="140"/>
      <c r="B27" s="61" t="s">
        <v>66</v>
      </c>
      <c r="C27" s="68"/>
    </row>
    <row r="28" spans="1:3" ht="15.75" customHeight="1">
      <c r="A28" s="140"/>
      <c r="B28" s="62" t="s">
        <v>67</v>
      </c>
      <c r="C28" s="69"/>
    </row>
    <row r="29" spans="1:3" ht="15.75" customHeight="1">
      <c r="A29" s="140"/>
      <c r="B29" s="61" t="s">
        <v>68</v>
      </c>
      <c r="C29" s="68"/>
    </row>
    <row r="30" spans="1:3" ht="15.75" customHeight="1">
      <c r="A30" s="140"/>
      <c r="B30" s="62" t="s">
        <v>69</v>
      </c>
      <c r="C30" s="69"/>
    </row>
    <row r="31" spans="1:3" ht="15.75" customHeight="1">
      <c r="A31" s="140"/>
      <c r="B31" s="61" t="s">
        <v>70</v>
      </c>
      <c r="C31" s="68"/>
    </row>
    <row r="32" spans="1:3" ht="15.75" customHeight="1">
      <c r="A32" s="140"/>
      <c r="B32" s="62" t="s">
        <v>71</v>
      </c>
      <c r="C32" s="69"/>
    </row>
    <row r="33" spans="1:3" ht="15.75" customHeight="1">
      <c r="A33" s="140"/>
      <c r="B33" s="61" t="s">
        <v>72</v>
      </c>
      <c r="C33" s="68"/>
    </row>
    <row r="34" spans="1:3" ht="15.75" customHeight="1">
      <c r="A34" s="140"/>
      <c r="B34" s="62" t="s">
        <v>73</v>
      </c>
      <c r="C34" s="69"/>
    </row>
    <row r="35" spans="1:3" ht="15.75" customHeight="1">
      <c r="A35" s="140"/>
      <c r="B35" s="61" t="s">
        <v>74</v>
      </c>
      <c r="C35" s="68"/>
    </row>
    <row r="36" spans="1:3" ht="15.75" customHeight="1">
      <c r="A36" s="140"/>
      <c r="B36" s="62" t="s">
        <v>75</v>
      </c>
      <c r="C36" s="69"/>
    </row>
    <row r="37" spans="1:3" ht="15.75" customHeight="1">
      <c r="A37" s="140"/>
      <c r="B37" s="61" t="s">
        <v>76</v>
      </c>
      <c r="C37" s="68"/>
    </row>
    <row r="38" spans="1:3" ht="15.75" customHeight="1">
      <c r="A38" s="140"/>
      <c r="B38" s="62" t="s">
        <v>77</v>
      </c>
      <c r="C38" s="69"/>
    </row>
    <row r="39" spans="1:3" ht="15.75" customHeight="1">
      <c r="A39" s="140"/>
      <c r="B39" s="61" t="s">
        <v>78</v>
      </c>
      <c r="C39" s="68"/>
    </row>
    <row r="40" spans="1:3" ht="15.75" customHeight="1">
      <c r="A40" s="140"/>
      <c r="B40" s="62" t="s">
        <v>79</v>
      </c>
      <c r="C40" s="69"/>
    </row>
    <row r="41" spans="1:3" ht="15.75" customHeight="1">
      <c r="A41" s="140"/>
      <c r="B41" s="61" t="s">
        <v>80</v>
      </c>
      <c r="C41" s="68"/>
    </row>
    <row r="42" spans="1:3" ht="15.75" customHeight="1">
      <c r="A42" s="140"/>
      <c r="B42" s="62" t="s">
        <v>95</v>
      </c>
      <c r="C42" s="69"/>
    </row>
    <row r="43" spans="1:3" ht="15.75" customHeight="1">
      <c r="A43" s="140"/>
      <c r="B43" s="61" t="s">
        <v>81</v>
      </c>
      <c r="C43" s="68"/>
    </row>
    <row r="44" spans="1:3" ht="15.75" customHeight="1">
      <c r="A44" s="139" t="s">
        <v>42</v>
      </c>
      <c r="B44" s="60" t="s">
        <v>43</v>
      </c>
      <c r="C44" s="70">
        <v>0</v>
      </c>
    </row>
    <row r="45" spans="1:3" ht="15.75" customHeight="1">
      <c r="A45" s="139"/>
      <c r="B45" s="63" t="s">
        <v>44</v>
      </c>
      <c r="C45" s="71">
        <v>1</v>
      </c>
    </row>
    <row r="46" spans="1:3" ht="25.5">
      <c r="A46" s="139"/>
      <c r="B46" s="60" t="s">
        <v>45</v>
      </c>
      <c r="C46" s="70">
        <v>3</v>
      </c>
    </row>
    <row r="47" spans="1:3" ht="15.75" customHeight="1">
      <c r="A47" s="139"/>
      <c r="B47" s="63" t="s">
        <v>46</v>
      </c>
      <c r="C47" s="71">
        <v>6</v>
      </c>
    </row>
    <row r="48" spans="1:3" ht="15.75" customHeight="1">
      <c r="A48" s="139"/>
      <c r="B48" s="60" t="s">
        <v>47</v>
      </c>
      <c r="C48" s="70">
        <v>7</v>
      </c>
    </row>
    <row r="49" spans="1:3" ht="15.75" customHeight="1">
      <c r="A49" s="139"/>
      <c r="B49" s="63" t="s">
        <v>48</v>
      </c>
      <c r="C49" s="71">
        <v>8</v>
      </c>
    </row>
    <row r="50" spans="1:3" ht="15.75" customHeight="1">
      <c r="A50" s="139"/>
      <c r="B50" s="60" t="s">
        <v>49</v>
      </c>
      <c r="C50" s="70">
        <v>9</v>
      </c>
    </row>
    <row r="51" spans="1:3" ht="15.75" customHeight="1">
      <c r="A51" s="139"/>
      <c r="B51" s="63" t="s">
        <v>50</v>
      </c>
      <c r="C51" s="71">
        <v>10</v>
      </c>
    </row>
    <row r="52" spans="1:3" ht="15.75" customHeight="1">
      <c r="A52" s="139"/>
      <c r="B52" s="60" t="s">
        <v>51</v>
      </c>
      <c r="C52" s="70">
        <v>20</v>
      </c>
    </row>
    <row r="53" spans="1:3" ht="15.75" customHeight="1">
      <c r="A53" s="139"/>
      <c r="B53" s="63" t="s">
        <v>52</v>
      </c>
      <c r="C53" s="71">
        <v>21</v>
      </c>
    </row>
    <row r="54" spans="1:3" ht="25.5">
      <c r="A54" s="139"/>
      <c r="B54" s="60" t="s">
        <v>91</v>
      </c>
      <c r="C54" s="70" t="s">
        <v>16</v>
      </c>
    </row>
    <row r="55" spans="1:3" ht="25.5">
      <c r="A55" s="139"/>
      <c r="B55" s="63" t="s">
        <v>90</v>
      </c>
      <c r="C55" s="71" t="s">
        <v>17</v>
      </c>
    </row>
    <row r="56" spans="1:3" ht="26.25" thickBot="1">
      <c r="A56" s="141"/>
      <c r="B56" s="64" t="s">
        <v>89</v>
      </c>
      <c r="C56" s="72" t="s">
        <v>18</v>
      </c>
    </row>
    <row r="57" spans="1:3">
      <c r="B57" s="4"/>
    </row>
  </sheetData>
  <customSheetViews>
    <customSheetView guid="{53FDDE27-5C9F-4CB4-9EC1-B330864364A3}" scale="60" showPageBreaks="1" view="pageBreakPreview">
      <selection sqref="A1:IV65536"/>
    </customSheetView>
  </customSheetViews>
  <mergeCells count="3">
    <mergeCell ref="A9:A17"/>
    <mergeCell ref="A18:A43"/>
    <mergeCell ref="A44:A56"/>
  </mergeCells>
  <phoneticPr fontId="0" type="noConversion"/>
  <pageMargins left="0.74803149606299213" right="0.74803149606299213" top="1.3779527559055118" bottom="0.98425196850393704" header="0" footer="0"/>
  <pageSetup paperSize="9" orientation="portrait" verticalDpi="300" r:id="rId1"/>
  <headerFooter>
    <oddHeader>&amp;L&amp;G&amp;R&amp;G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Y49"/>
  <sheetViews>
    <sheetView showGridLines="0" topLeftCell="BJ7" zoomScale="70" zoomScaleNormal="70" workbookViewId="0">
      <selection activeCell="BN32" sqref="BN32"/>
    </sheetView>
  </sheetViews>
  <sheetFormatPr baseColWidth="10" defaultColWidth="17.140625" defaultRowHeight="12"/>
  <cols>
    <col min="1" max="1" width="5.7109375" style="11" customWidth="1"/>
    <col min="2" max="2" width="15.7109375" style="10" customWidth="1"/>
    <col min="3" max="3" width="19.140625" style="11" bestFit="1" customWidth="1"/>
    <col min="4" max="7" width="17.7109375" style="11" customWidth="1"/>
    <col min="8" max="8" width="14.7109375" style="12" customWidth="1"/>
    <col min="9" max="9" width="17.42578125" style="10" customWidth="1"/>
    <col min="10" max="14" width="17.7109375" style="11" customWidth="1"/>
    <col min="15" max="15" width="14.7109375" style="11" customWidth="1"/>
    <col min="16" max="16" width="17.42578125" style="10" customWidth="1"/>
    <col min="17" max="21" width="17.7109375" style="11" customWidth="1"/>
    <col min="22" max="22" width="14.7109375" style="11" customWidth="1"/>
    <col min="23" max="23" width="17.42578125" style="10" customWidth="1"/>
    <col min="24" max="28" width="17.7109375" style="11" customWidth="1"/>
    <col min="29" max="29" width="14.7109375" style="14" customWidth="1"/>
    <col min="30" max="30" width="17.42578125" style="10" customWidth="1"/>
    <col min="31" max="32" width="19.140625" style="11" bestFit="1" customWidth="1"/>
    <col min="33" max="35" width="17.7109375" style="11" customWidth="1"/>
    <col min="36" max="36" width="14.7109375" style="11" customWidth="1"/>
    <col min="37" max="37" width="17.42578125" style="10" customWidth="1"/>
    <col min="38" max="42" width="17.7109375" style="11" customWidth="1"/>
    <col min="43" max="43" width="14.7109375" style="11" customWidth="1"/>
    <col min="44" max="44" width="17.42578125" style="10" customWidth="1"/>
    <col min="45" max="49" width="17.7109375" style="11" customWidth="1"/>
    <col min="50" max="50" width="14.7109375" style="11" customWidth="1"/>
    <col min="51" max="51" width="17.42578125" style="10" customWidth="1"/>
    <col min="52" max="56" width="17.7109375" style="11" customWidth="1"/>
    <col min="57" max="57" width="14.7109375" style="13" customWidth="1"/>
    <col min="58" max="58" width="17.42578125" style="10" customWidth="1"/>
    <col min="59" max="63" width="17.7109375" style="11" customWidth="1"/>
    <col min="64" max="64" width="14.7109375" style="11" customWidth="1"/>
    <col min="65" max="65" width="17.42578125" style="10" customWidth="1"/>
    <col min="66" max="70" width="17.7109375" style="11" customWidth="1"/>
    <col min="71" max="71" width="14.7109375" style="11" customWidth="1"/>
    <col min="72" max="72" width="17.42578125" style="10" customWidth="1"/>
    <col min="73" max="77" width="17.7109375" style="11" customWidth="1"/>
    <col min="78" max="16384" width="17.140625" style="11"/>
  </cols>
  <sheetData>
    <row r="2" spans="2:77" s="39" customFormat="1" ht="18">
      <c r="B2" s="17" t="s">
        <v>117</v>
      </c>
      <c r="C2" s="37"/>
      <c r="D2" s="37"/>
      <c r="E2" s="37"/>
      <c r="F2" s="37"/>
      <c r="G2" s="37"/>
      <c r="H2" s="38"/>
      <c r="I2" s="17" t="s">
        <v>117</v>
      </c>
      <c r="J2" s="37"/>
      <c r="K2" s="37"/>
      <c r="L2" s="37"/>
      <c r="M2" s="37"/>
      <c r="N2" s="37"/>
      <c r="P2" s="17" t="s">
        <v>117</v>
      </c>
      <c r="Q2" s="37"/>
      <c r="R2" s="37"/>
      <c r="S2" s="37"/>
      <c r="T2" s="37"/>
      <c r="U2" s="37"/>
      <c r="W2" s="17" t="s">
        <v>117</v>
      </c>
      <c r="X2" s="37"/>
      <c r="Y2" s="37"/>
      <c r="Z2" s="37"/>
      <c r="AA2" s="37"/>
      <c r="AB2" s="37"/>
      <c r="AC2" s="40"/>
      <c r="AD2" s="17" t="s">
        <v>117</v>
      </c>
      <c r="AE2" s="37"/>
      <c r="AF2" s="37"/>
      <c r="AG2" s="37"/>
      <c r="AH2" s="37"/>
      <c r="AI2" s="37"/>
      <c r="AK2" s="17" t="s">
        <v>117</v>
      </c>
      <c r="AL2" s="37"/>
      <c r="AM2" s="37"/>
      <c r="AN2" s="37"/>
      <c r="AO2" s="37"/>
      <c r="AP2" s="37"/>
      <c r="AR2" s="17" t="s">
        <v>117</v>
      </c>
      <c r="AS2" s="37"/>
      <c r="AT2" s="37"/>
      <c r="AU2" s="37"/>
      <c r="AV2" s="37"/>
      <c r="AW2" s="37"/>
      <c r="AY2" s="17" t="s">
        <v>117</v>
      </c>
      <c r="AZ2" s="37"/>
      <c r="BA2" s="37"/>
      <c r="BB2" s="37"/>
      <c r="BC2" s="37"/>
      <c r="BD2" s="37"/>
      <c r="BE2" s="41"/>
      <c r="BF2" s="17" t="s">
        <v>117</v>
      </c>
      <c r="BG2" s="37"/>
      <c r="BH2" s="37"/>
      <c r="BI2" s="37"/>
      <c r="BJ2" s="37"/>
      <c r="BK2" s="37"/>
      <c r="BM2" s="17" t="s">
        <v>117</v>
      </c>
      <c r="BN2" s="37"/>
      <c r="BO2" s="37"/>
      <c r="BP2" s="37"/>
      <c r="BQ2" s="37"/>
      <c r="BR2" s="37"/>
      <c r="BT2" s="17" t="s">
        <v>117</v>
      </c>
      <c r="BU2" s="37"/>
      <c r="BV2" s="37"/>
      <c r="BW2" s="37"/>
      <c r="BX2" s="37"/>
      <c r="BY2" s="37"/>
    </row>
    <row r="3" spans="2:77" s="30" customFormat="1" ht="12.75" customHeight="1">
      <c r="B3" s="147" t="s">
        <v>83</v>
      </c>
      <c r="C3" s="145" t="s">
        <v>105</v>
      </c>
      <c r="D3" s="146"/>
      <c r="E3" s="146"/>
      <c r="F3" s="146"/>
      <c r="G3" s="146"/>
      <c r="H3" s="29"/>
      <c r="I3" s="144" t="s">
        <v>83</v>
      </c>
      <c r="J3" s="145" t="s">
        <v>107</v>
      </c>
      <c r="K3" s="146"/>
      <c r="L3" s="146"/>
      <c r="M3" s="146"/>
      <c r="N3" s="146"/>
      <c r="P3" s="147" t="s">
        <v>83</v>
      </c>
      <c r="Q3" s="145" t="s">
        <v>108</v>
      </c>
      <c r="R3" s="146"/>
      <c r="S3" s="146"/>
      <c r="T3" s="146"/>
      <c r="U3" s="146"/>
      <c r="W3" s="147" t="s">
        <v>83</v>
      </c>
      <c r="X3" s="145" t="s">
        <v>109</v>
      </c>
      <c r="Y3" s="146"/>
      <c r="Z3" s="146"/>
      <c r="AA3" s="146"/>
      <c r="AB3" s="146"/>
      <c r="AC3" s="31"/>
      <c r="AD3" s="147"/>
      <c r="AE3" s="145" t="s">
        <v>110</v>
      </c>
      <c r="AF3" s="146"/>
      <c r="AG3" s="146"/>
      <c r="AH3" s="146"/>
      <c r="AI3" s="146"/>
      <c r="AK3" s="147"/>
      <c r="AL3" s="145" t="s">
        <v>111</v>
      </c>
      <c r="AM3" s="146"/>
      <c r="AN3" s="146"/>
      <c r="AO3" s="146"/>
      <c r="AP3" s="146"/>
      <c r="AR3" s="147"/>
      <c r="AS3" s="145" t="s">
        <v>112</v>
      </c>
      <c r="AT3" s="146"/>
      <c r="AU3" s="146"/>
      <c r="AV3" s="146"/>
      <c r="AW3" s="146"/>
      <c r="AY3" s="147"/>
      <c r="AZ3" s="145" t="s">
        <v>114</v>
      </c>
      <c r="BA3" s="146"/>
      <c r="BB3" s="146"/>
      <c r="BC3" s="146"/>
      <c r="BD3" s="146"/>
      <c r="BE3" s="32"/>
      <c r="BF3" s="147"/>
      <c r="BG3" s="145" t="s">
        <v>113</v>
      </c>
      <c r="BH3" s="146"/>
      <c r="BI3" s="146"/>
      <c r="BJ3" s="146"/>
      <c r="BK3" s="146"/>
      <c r="BM3" s="147"/>
      <c r="BN3" s="145" t="s">
        <v>116</v>
      </c>
      <c r="BO3" s="146"/>
      <c r="BP3" s="146"/>
      <c r="BQ3" s="146"/>
      <c r="BR3" s="146"/>
      <c r="BT3" s="147"/>
      <c r="BU3" s="145" t="s">
        <v>115</v>
      </c>
      <c r="BV3" s="146"/>
      <c r="BW3" s="146"/>
      <c r="BX3" s="146"/>
      <c r="BY3" s="146"/>
    </row>
    <row r="4" spans="2:77" s="30" customFormat="1" ht="12.75" customHeight="1">
      <c r="B4" s="148"/>
      <c r="C4" s="142" t="s">
        <v>99</v>
      </c>
      <c r="D4" s="143"/>
      <c r="E4" s="143"/>
      <c r="F4" s="143"/>
      <c r="G4" s="143"/>
      <c r="H4" s="29"/>
      <c r="I4" s="144" t="s">
        <v>83</v>
      </c>
      <c r="J4" s="142" t="s">
        <v>99</v>
      </c>
      <c r="K4" s="143"/>
      <c r="L4" s="143"/>
      <c r="M4" s="143"/>
      <c r="N4" s="143"/>
      <c r="P4" s="148" t="s">
        <v>83</v>
      </c>
      <c r="Q4" s="142" t="s">
        <v>99</v>
      </c>
      <c r="R4" s="143"/>
      <c r="S4" s="143"/>
      <c r="T4" s="143"/>
      <c r="U4" s="143"/>
      <c r="W4" s="148" t="s">
        <v>83</v>
      </c>
      <c r="X4" s="142" t="s">
        <v>99</v>
      </c>
      <c r="Y4" s="143"/>
      <c r="Z4" s="143"/>
      <c r="AA4" s="143"/>
      <c r="AB4" s="143"/>
      <c r="AC4" s="31"/>
      <c r="AD4" s="148" t="s">
        <v>83</v>
      </c>
      <c r="AE4" s="142" t="s">
        <v>99</v>
      </c>
      <c r="AF4" s="143"/>
      <c r="AG4" s="143"/>
      <c r="AH4" s="143"/>
      <c r="AI4" s="143"/>
      <c r="AK4" s="148" t="s">
        <v>83</v>
      </c>
      <c r="AL4" s="142"/>
      <c r="AM4" s="143"/>
      <c r="AN4" s="143"/>
      <c r="AO4" s="143"/>
      <c r="AP4" s="143"/>
      <c r="AR4" s="148" t="s">
        <v>83</v>
      </c>
      <c r="AS4" s="142" t="s">
        <v>99</v>
      </c>
      <c r="AT4" s="143"/>
      <c r="AU4" s="143"/>
      <c r="AV4" s="143"/>
      <c r="AW4" s="143"/>
      <c r="AY4" s="148" t="s">
        <v>83</v>
      </c>
      <c r="AZ4" s="142" t="s">
        <v>99</v>
      </c>
      <c r="BA4" s="143"/>
      <c r="BB4" s="143"/>
      <c r="BC4" s="143"/>
      <c r="BD4" s="143"/>
      <c r="BE4" s="32"/>
      <c r="BF4" s="148" t="s">
        <v>83</v>
      </c>
      <c r="BG4" s="142" t="s">
        <v>99</v>
      </c>
      <c r="BH4" s="143"/>
      <c r="BI4" s="143"/>
      <c r="BJ4" s="143"/>
      <c r="BK4" s="143"/>
      <c r="BM4" s="148" t="s">
        <v>83</v>
      </c>
      <c r="BN4" s="142" t="s">
        <v>99</v>
      </c>
      <c r="BO4" s="143"/>
      <c r="BP4" s="143"/>
      <c r="BQ4" s="143"/>
      <c r="BR4" s="143"/>
      <c r="BT4" s="148" t="s">
        <v>83</v>
      </c>
      <c r="BU4" s="142" t="s">
        <v>99</v>
      </c>
      <c r="BV4" s="143"/>
      <c r="BW4" s="143"/>
      <c r="BX4" s="143"/>
      <c r="BY4" s="143"/>
    </row>
    <row r="5" spans="2:77" s="30" customFormat="1" ht="12.75">
      <c r="B5" s="149"/>
      <c r="C5" s="18">
        <v>1</v>
      </c>
      <c r="D5" s="18">
        <v>2</v>
      </c>
      <c r="E5" s="18">
        <v>3</v>
      </c>
      <c r="F5" s="18">
        <v>4</v>
      </c>
      <c r="G5" s="18">
        <v>5</v>
      </c>
      <c r="H5" s="29"/>
      <c r="I5" s="144"/>
      <c r="J5" s="18">
        <v>1</v>
      </c>
      <c r="K5" s="18">
        <v>2</v>
      </c>
      <c r="L5" s="18">
        <v>3</v>
      </c>
      <c r="M5" s="18">
        <v>4</v>
      </c>
      <c r="N5" s="18">
        <v>5</v>
      </c>
      <c r="P5" s="149"/>
      <c r="Q5" s="18">
        <v>1</v>
      </c>
      <c r="R5" s="18">
        <v>2</v>
      </c>
      <c r="S5" s="18">
        <v>3</v>
      </c>
      <c r="T5" s="18">
        <v>4</v>
      </c>
      <c r="U5" s="18">
        <v>5</v>
      </c>
      <c r="W5" s="149"/>
      <c r="X5" s="18">
        <v>1</v>
      </c>
      <c r="Y5" s="18">
        <v>2</v>
      </c>
      <c r="Z5" s="18">
        <v>3</v>
      </c>
      <c r="AA5" s="18">
        <v>4</v>
      </c>
      <c r="AB5" s="18">
        <v>5</v>
      </c>
      <c r="AC5" s="31"/>
      <c r="AD5" s="149"/>
      <c r="AE5" s="18">
        <v>1</v>
      </c>
      <c r="AF5" s="18">
        <v>2</v>
      </c>
      <c r="AG5" s="18">
        <v>3</v>
      </c>
      <c r="AH5" s="18">
        <v>4</v>
      </c>
      <c r="AI5" s="18">
        <v>5</v>
      </c>
      <c r="AK5" s="149"/>
      <c r="AL5" s="18">
        <v>1</v>
      </c>
      <c r="AM5" s="18">
        <v>2</v>
      </c>
      <c r="AN5" s="18">
        <v>3</v>
      </c>
      <c r="AO5" s="18">
        <v>4</v>
      </c>
      <c r="AP5" s="18">
        <v>5</v>
      </c>
      <c r="AR5" s="149"/>
      <c r="AS5" s="18">
        <v>1</v>
      </c>
      <c r="AT5" s="18">
        <v>2</v>
      </c>
      <c r="AU5" s="18">
        <v>3</v>
      </c>
      <c r="AV5" s="18">
        <v>4</v>
      </c>
      <c r="AW5" s="18">
        <v>5</v>
      </c>
      <c r="AY5" s="149"/>
      <c r="AZ5" s="18">
        <v>1</v>
      </c>
      <c r="BA5" s="18">
        <v>2</v>
      </c>
      <c r="BB5" s="18">
        <v>3</v>
      </c>
      <c r="BC5" s="18">
        <v>4</v>
      </c>
      <c r="BD5" s="18">
        <v>5</v>
      </c>
      <c r="BE5" s="32"/>
      <c r="BF5" s="149"/>
      <c r="BG5" s="18">
        <v>1</v>
      </c>
      <c r="BH5" s="18">
        <v>2</v>
      </c>
      <c r="BI5" s="18">
        <v>3</v>
      </c>
      <c r="BJ5" s="18">
        <v>4</v>
      </c>
      <c r="BK5" s="18">
        <v>5</v>
      </c>
      <c r="BM5" s="149"/>
      <c r="BN5" s="18">
        <v>1</v>
      </c>
      <c r="BO5" s="18">
        <v>2</v>
      </c>
      <c r="BP5" s="18">
        <v>3</v>
      </c>
      <c r="BQ5" s="18">
        <v>4</v>
      </c>
      <c r="BR5" s="18">
        <v>5</v>
      </c>
      <c r="BT5" s="149"/>
      <c r="BU5" s="18">
        <v>1</v>
      </c>
      <c r="BV5" s="18">
        <v>2</v>
      </c>
      <c r="BW5" s="18">
        <v>3</v>
      </c>
      <c r="BX5" s="18">
        <v>4</v>
      </c>
      <c r="BY5" s="18">
        <v>5</v>
      </c>
    </row>
    <row r="6" spans="2:77" s="34" customFormat="1" ht="14.25" customHeight="1" thickBot="1">
      <c r="B6" s="24" t="s">
        <v>127</v>
      </c>
      <c r="C6" s="25">
        <v>2392222</v>
      </c>
      <c r="D6" s="26">
        <v>2526458</v>
      </c>
      <c r="E6" s="26">
        <v>2620208</v>
      </c>
      <c r="F6" s="26">
        <v>2623379</v>
      </c>
      <c r="G6" s="122">
        <v>2624980</v>
      </c>
      <c r="H6" s="33"/>
      <c r="I6" s="24" t="s">
        <v>127</v>
      </c>
      <c r="J6" s="25">
        <v>1206240</v>
      </c>
      <c r="K6" s="26">
        <v>1265599</v>
      </c>
      <c r="L6" s="26">
        <v>1357924</v>
      </c>
      <c r="M6" s="26">
        <v>1360129</v>
      </c>
      <c r="N6" s="122">
        <v>1360998</v>
      </c>
      <c r="P6" s="24" t="s">
        <v>127</v>
      </c>
      <c r="Q6" s="25">
        <v>140960</v>
      </c>
      <c r="R6" s="26">
        <v>159054</v>
      </c>
      <c r="S6" s="26">
        <v>165337</v>
      </c>
      <c r="T6" s="26">
        <v>166201</v>
      </c>
      <c r="U6" s="122">
        <v>166670</v>
      </c>
      <c r="W6" s="24" t="s">
        <v>127</v>
      </c>
      <c r="X6" s="25">
        <v>1065280</v>
      </c>
      <c r="Y6" s="26">
        <v>1106545</v>
      </c>
      <c r="Z6" s="26">
        <v>1192587</v>
      </c>
      <c r="AA6" s="26">
        <v>1193928</v>
      </c>
      <c r="AB6" s="122">
        <v>1194328</v>
      </c>
      <c r="AC6" s="35"/>
      <c r="AD6" s="24" t="s">
        <v>127</v>
      </c>
      <c r="AE6" s="25">
        <v>1185982</v>
      </c>
      <c r="AF6" s="26">
        <v>1260859</v>
      </c>
      <c r="AG6" s="26">
        <v>1262284</v>
      </c>
      <c r="AH6" s="26">
        <v>1263250</v>
      </c>
      <c r="AI6" s="122">
        <v>1263982</v>
      </c>
      <c r="AJ6" s="35"/>
      <c r="AK6" s="24" t="s">
        <v>127</v>
      </c>
      <c r="AL6" s="25">
        <v>31070</v>
      </c>
      <c r="AM6" s="26">
        <v>33027</v>
      </c>
      <c r="AN6" s="26">
        <v>33271</v>
      </c>
      <c r="AO6" s="26">
        <v>33944</v>
      </c>
      <c r="AP6" s="122">
        <v>34535</v>
      </c>
      <c r="AQ6" s="35"/>
      <c r="AR6" s="24" t="s">
        <v>127</v>
      </c>
      <c r="AS6" s="25">
        <v>220188</v>
      </c>
      <c r="AT6" s="26">
        <v>230487</v>
      </c>
      <c r="AU6" s="26">
        <v>230578</v>
      </c>
      <c r="AV6" s="26">
        <v>230606</v>
      </c>
      <c r="AW6" s="122">
        <v>230616</v>
      </c>
      <c r="AX6" s="35"/>
      <c r="AY6" s="24" t="s">
        <v>127</v>
      </c>
      <c r="AZ6" s="25">
        <v>2832</v>
      </c>
      <c r="BA6" s="26">
        <v>3152</v>
      </c>
      <c r="BB6" s="26">
        <v>3163</v>
      </c>
      <c r="BC6" s="26">
        <v>3164</v>
      </c>
      <c r="BD6" s="122">
        <v>3166</v>
      </c>
      <c r="BE6" s="36"/>
      <c r="BF6" s="24" t="s">
        <v>127</v>
      </c>
      <c r="BG6" s="25">
        <v>4166</v>
      </c>
      <c r="BH6" s="26">
        <v>4395</v>
      </c>
      <c r="BI6" s="26">
        <v>4403</v>
      </c>
      <c r="BJ6" s="26">
        <v>4407</v>
      </c>
      <c r="BK6" s="122">
        <v>4407</v>
      </c>
      <c r="BL6" s="35"/>
      <c r="BM6" s="24" t="s">
        <v>127</v>
      </c>
      <c r="BN6" s="25">
        <v>24052</v>
      </c>
      <c r="BO6" s="26">
        <v>26765</v>
      </c>
      <c r="BP6" s="26">
        <v>26832</v>
      </c>
      <c r="BQ6" s="26">
        <v>26882</v>
      </c>
      <c r="BR6" s="122">
        <v>26906</v>
      </c>
      <c r="BS6" s="35"/>
      <c r="BT6" s="24" t="s">
        <v>127</v>
      </c>
      <c r="BU6" s="25">
        <v>903674</v>
      </c>
      <c r="BV6" s="26">
        <v>963033</v>
      </c>
      <c r="BW6" s="26">
        <v>964037</v>
      </c>
      <c r="BX6" s="26">
        <v>964247</v>
      </c>
      <c r="BY6" s="122">
        <v>964352</v>
      </c>
    </row>
    <row r="7" spans="2:77" s="20" customFormat="1" ht="14.25" customHeight="1" thickBot="1">
      <c r="B7" s="24" t="s">
        <v>133</v>
      </c>
      <c r="C7" s="27">
        <v>3091948</v>
      </c>
      <c r="D7" s="28">
        <v>3304848</v>
      </c>
      <c r="E7" s="28">
        <v>3439779</v>
      </c>
      <c r="F7" s="123">
        <v>3442586</v>
      </c>
      <c r="G7" s="33"/>
      <c r="H7" s="19"/>
      <c r="I7" s="24" t="s">
        <v>133</v>
      </c>
      <c r="J7" s="27">
        <v>1574164</v>
      </c>
      <c r="K7" s="28">
        <v>1670227</v>
      </c>
      <c r="L7" s="28">
        <v>1803211</v>
      </c>
      <c r="M7" s="123">
        <v>1805647</v>
      </c>
      <c r="N7" s="33"/>
      <c r="P7" s="24" t="s">
        <v>133</v>
      </c>
      <c r="Q7" s="27">
        <v>178045</v>
      </c>
      <c r="R7" s="28">
        <v>201343</v>
      </c>
      <c r="S7" s="28">
        <v>211347</v>
      </c>
      <c r="T7" s="123">
        <v>212423</v>
      </c>
      <c r="U7" s="33"/>
      <c r="W7" s="24" t="s">
        <v>133</v>
      </c>
      <c r="X7" s="27">
        <v>1396119</v>
      </c>
      <c r="Y7" s="28">
        <v>1468884</v>
      </c>
      <c r="Z7" s="28">
        <v>1591864</v>
      </c>
      <c r="AA7" s="123">
        <v>1593224</v>
      </c>
      <c r="AB7" s="33"/>
      <c r="AC7" s="21"/>
      <c r="AD7" s="24" t="s">
        <v>133</v>
      </c>
      <c r="AE7" s="27">
        <v>1517784</v>
      </c>
      <c r="AF7" s="28">
        <v>1634621</v>
      </c>
      <c r="AG7" s="28">
        <v>1636568</v>
      </c>
      <c r="AH7" s="123">
        <v>1636939</v>
      </c>
      <c r="AI7" s="33"/>
      <c r="AJ7" s="21"/>
      <c r="AK7" s="24" t="s">
        <v>133</v>
      </c>
      <c r="AL7" s="27">
        <v>38514</v>
      </c>
      <c r="AM7" s="28">
        <v>40981</v>
      </c>
      <c r="AN7" s="28">
        <v>41228</v>
      </c>
      <c r="AO7" s="123">
        <v>41379</v>
      </c>
      <c r="AP7" s="33"/>
      <c r="AQ7" s="21"/>
      <c r="AR7" s="24" t="s">
        <v>133</v>
      </c>
      <c r="AS7" s="27">
        <v>291336</v>
      </c>
      <c r="AT7" s="28">
        <v>308179</v>
      </c>
      <c r="AU7" s="28">
        <v>308329</v>
      </c>
      <c r="AV7" s="123">
        <v>308346</v>
      </c>
      <c r="AW7" s="33"/>
      <c r="AX7" s="21"/>
      <c r="AY7" s="24" t="s">
        <v>133</v>
      </c>
      <c r="AZ7" s="27">
        <v>3488</v>
      </c>
      <c r="BA7" s="28">
        <v>3905</v>
      </c>
      <c r="BB7" s="28">
        <v>3913</v>
      </c>
      <c r="BC7" s="123">
        <v>3916</v>
      </c>
      <c r="BD7" s="33"/>
      <c r="BE7" s="22"/>
      <c r="BF7" s="24" t="s">
        <v>133</v>
      </c>
      <c r="BG7" s="27">
        <v>4842</v>
      </c>
      <c r="BH7" s="28">
        <v>5111</v>
      </c>
      <c r="BI7" s="28">
        <v>5124</v>
      </c>
      <c r="BJ7" s="123">
        <v>5128</v>
      </c>
      <c r="BK7" s="33"/>
      <c r="BL7" s="21"/>
      <c r="BM7" s="24" t="s">
        <v>133</v>
      </c>
      <c r="BN7" s="27">
        <v>28193</v>
      </c>
      <c r="BO7" s="28">
        <v>32471</v>
      </c>
      <c r="BP7" s="28">
        <v>32601</v>
      </c>
      <c r="BQ7" s="123">
        <v>32629</v>
      </c>
      <c r="BR7" s="33"/>
      <c r="BS7" s="21"/>
      <c r="BT7" s="24" t="s">
        <v>133</v>
      </c>
      <c r="BU7" s="27">
        <v>1151411</v>
      </c>
      <c r="BV7" s="28">
        <v>1243974</v>
      </c>
      <c r="BW7" s="28">
        <v>1245373</v>
      </c>
      <c r="BX7" s="123">
        <v>1245541</v>
      </c>
      <c r="BY7" s="33"/>
    </row>
    <row r="8" spans="2:77" s="20" customFormat="1" ht="14.25" customHeight="1" thickBot="1">
      <c r="B8" s="24" t="s">
        <v>140</v>
      </c>
      <c r="C8" s="25">
        <v>3403852</v>
      </c>
      <c r="D8" s="26">
        <v>3660430</v>
      </c>
      <c r="E8" s="122">
        <v>3804230</v>
      </c>
      <c r="F8" s="33"/>
      <c r="G8" s="33"/>
      <c r="H8" s="19"/>
      <c r="I8" s="24" t="s">
        <v>140</v>
      </c>
      <c r="J8" s="25">
        <v>1725187</v>
      </c>
      <c r="K8" s="26">
        <v>1835588</v>
      </c>
      <c r="L8" s="122">
        <v>1977152</v>
      </c>
      <c r="M8" s="33"/>
      <c r="N8" s="33"/>
      <c r="P8" s="24" t="s">
        <v>140</v>
      </c>
      <c r="Q8" s="25">
        <v>185342</v>
      </c>
      <c r="R8" s="26">
        <v>206472</v>
      </c>
      <c r="S8" s="122">
        <v>215820</v>
      </c>
      <c r="T8" s="33"/>
      <c r="U8" s="33"/>
      <c r="W8" s="24" t="s">
        <v>140</v>
      </c>
      <c r="X8" s="25">
        <v>1539845</v>
      </c>
      <c r="Y8" s="26">
        <v>1629116</v>
      </c>
      <c r="Z8" s="122">
        <v>1761332</v>
      </c>
      <c r="AA8" s="33"/>
      <c r="AB8" s="33"/>
      <c r="AC8" s="21"/>
      <c r="AD8" s="24" t="s">
        <v>140</v>
      </c>
      <c r="AE8" s="25">
        <v>1678665</v>
      </c>
      <c r="AF8" s="26">
        <v>1824842</v>
      </c>
      <c r="AG8" s="122">
        <v>1827078</v>
      </c>
      <c r="AH8" s="33"/>
      <c r="AI8" s="33"/>
      <c r="AJ8" s="21"/>
      <c r="AK8" s="24" t="s">
        <v>140</v>
      </c>
      <c r="AL8" s="25">
        <v>52106</v>
      </c>
      <c r="AM8" s="26">
        <v>55069</v>
      </c>
      <c r="AN8" s="122">
        <v>55258</v>
      </c>
      <c r="AO8" s="33"/>
      <c r="AP8" s="33"/>
      <c r="AQ8" s="21"/>
      <c r="AR8" s="24" t="s">
        <v>140</v>
      </c>
      <c r="AS8" s="25">
        <v>355605</v>
      </c>
      <c r="AT8" s="26">
        <v>380695</v>
      </c>
      <c r="AU8" s="122">
        <v>380820</v>
      </c>
      <c r="AV8" s="33"/>
      <c r="AW8" s="33"/>
      <c r="AX8" s="21"/>
      <c r="AY8" s="24" t="s">
        <v>140</v>
      </c>
      <c r="AZ8" s="25">
        <v>4270</v>
      </c>
      <c r="BA8" s="26">
        <v>4739</v>
      </c>
      <c r="BB8" s="122">
        <v>4749</v>
      </c>
      <c r="BC8" s="33"/>
      <c r="BD8" s="33"/>
      <c r="BE8" s="22"/>
      <c r="BF8" s="24" t="s">
        <v>140</v>
      </c>
      <c r="BG8" s="25">
        <v>5073</v>
      </c>
      <c r="BH8" s="26">
        <v>5410</v>
      </c>
      <c r="BI8" s="122">
        <v>5420</v>
      </c>
      <c r="BJ8" s="33"/>
      <c r="BK8" s="33"/>
      <c r="BL8" s="21"/>
      <c r="BM8" s="24" t="s">
        <v>140</v>
      </c>
      <c r="BN8" s="25">
        <v>29332</v>
      </c>
      <c r="BO8" s="26">
        <v>33974</v>
      </c>
      <c r="BP8" s="122">
        <v>34459</v>
      </c>
      <c r="BQ8" s="33"/>
      <c r="BR8" s="33"/>
      <c r="BS8" s="21"/>
      <c r="BT8" s="24" t="s">
        <v>140</v>
      </c>
      <c r="BU8" s="25">
        <v>1232279</v>
      </c>
      <c r="BV8" s="26">
        <v>1344955</v>
      </c>
      <c r="BW8" s="122">
        <v>1346372</v>
      </c>
      <c r="BX8" s="33"/>
      <c r="BY8" s="33"/>
    </row>
    <row r="9" spans="2:77" s="20" customFormat="1" ht="14.25" customHeight="1" thickBot="1">
      <c r="B9" s="24" t="s">
        <v>141</v>
      </c>
      <c r="C9" s="27">
        <v>3401281</v>
      </c>
      <c r="D9" s="123">
        <v>3593470</v>
      </c>
      <c r="E9" s="33"/>
      <c r="F9" s="33"/>
      <c r="G9" s="33"/>
      <c r="H9" s="19"/>
      <c r="I9" s="24" t="s">
        <v>141</v>
      </c>
      <c r="J9" s="27">
        <v>1673288</v>
      </c>
      <c r="K9" s="123">
        <v>1752052</v>
      </c>
      <c r="L9" s="33"/>
      <c r="M9" s="33"/>
      <c r="N9" s="33"/>
      <c r="P9" s="24" t="s">
        <v>141</v>
      </c>
      <c r="Q9" s="27">
        <v>192299</v>
      </c>
      <c r="R9" s="123">
        <v>213940</v>
      </c>
      <c r="S9" s="33"/>
      <c r="T9" s="33"/>
      <c r="U9" s="33"/>
      <c r="W9" s="24" t="s">
        <v>141</v>
      </c>
      <c r="X9" s="27">
        <v>1480989</v>
      </c>
      <c r="Y9" s="123">
        <v>1538112</v>
      </c>
      <c r="Z9" s="33"/>
      <c r="AA9" s="33"/>
      <c r="AB9" s="33"/>
      <c r="AC9" s="21"/>
      <c r="AD9" s="24" t="s">
        <v>141</v>
      </c>
      <c r="AE9" s="27">
        <v>1727993</v>
      </c>
      <c r="AF9" s="123">
        <v>1841418</v>
      </c>
      <c r="AG9" s="33"/>
      <c r="AH9" s="33"/>
      <c r="AI9" s="33"/>
      <c r="AJ9" s="21"/>
      <c r="AK9" s="24" t="s">
        <v>141</v>
      </c>
      <c r="AL9" s="27">
        <v>62743</v>
      </c>
      <c r="AM9" s="123">
        <v>66213</v>
      </c>
      <c r="AN9" s="33"/>
      <c r="AO9" s="33"/>
      <c r="AP9" s="33"/>
      <c r="AQ9" s="21"/>
      <c r="AR9" s="24" t="s">
        <v>141</v>
      </c>
      <c r="AS9" s="27">
        <v>370255</v>
      </c>
      <c r="AT9" s="123">
        <v>392415</v>
      </c>
      <c r="AU9" s="33"/>
      <c r="AV9" s="33"/>
      <c r="AW9" s="33"/>
      <c r="AX9" s="21"/>
      <c r="AY9" s="24" t="s">
        <v>141</v>
      </c>
      <c r="AZ9" s="27">
        <v>4590</v>
      </c>
      <c r="BA9" s="123">
        <v>5122</v>
      </c>
      <c r="BB9" s="33"/>
      <c r="BC9" s="33"/>
      <c r="BD9" s="33"/>
      <c r="BE9" s="22"/>
      <c r="BF9" s="24" t="s">
        <v>141</v>
      </c>
      <c r="BG9" s="27">
        <v>5048</v>
      </c>
      <c r="BH9" s="123">
        <v>5381</v>
      </c>
      <c r="BI9" s="33"/>
      <c r="BJ9" s="33"/>
      <c r="BK9" s="33"/>
      <c r="BL9" s="21"/>
      <c r="BM9" s="24" t="s">
        <v>141</v>
      </c>
      <c r="BN9" s="27">
        <v>34463</v>
      </c>
      <c r="BO9" s="123">
        <v>39555</v>
      </c>
      <c r="BP9" s="33"/>
      <c r="BQ9" s="33"/>
      <c r="BR9" s="33"/>
      <c r="BS9" s="21"/>
      <c r="BT9" s="24" t="s">
        <v>141</v>
      </c>
      <c r="BU9" s="27">
        <v>1250894</v>
      </c>
      <c r="BV9" s="123">
        <v>1332732</v>
      </c>
      <c r="BW9" s="33"/>
      <c r="BX9" s="33"/>
      <c r="BY9" s="33"/>
    </row>
    <row r="10" spans="2:77" s="20" customFormat="1" ht="14.25" customHeight="1" thickBot="1">
      <c r="B10" s="121" t="s">
        <v>150</v>
      </c>
      <c r="C10" s="122">
        <v>3435289</v>
      </c>
      <c r="D10" s="33"/>
      <c r="E10" s="33"/>
      <c r="F10" s="33"/>
      <c r="G10" s="33"/>
      <c r="H10" s="19"/>
      <c r="I10" s="121" t="s">
        <v>150</v>
      </c>
      <c r="J10" s="122">
        <v>1749482</v>
      </c>
      <c r="K10" s="33"/>
      <c r="L10" s="33"/>
      <c r="M10" s="33"/>
      <c r="N10" s="33"/>
      <c r="P10" s="121" t="s">
        <v>150</v>
      </c>
      <c r="Q10" s="122">
        <v>212388</v>
      </c>
      <c r="R10" s="33"/>
      <c r="S10" s="33"/>
      <c r="T10" s="33"/>
      <c r="U10" s="33"/>
      <c r="W10" s="121" t="s">
        <v>150</v>
      </c>
      <c r="X10" s="122">
        <v>1537094</v>
      </c>
      <c r="Y10" s="33"/>
      <c r="Z10" s="33"/>
      <c r="AA10" s="33"/>
      <c r="AB10" s="33"/>
      <c r="AC10" s="21"/>
      <c r="AD10" s="121" t="s">
        <v>150</v>
      </c>
      <c r="AE10" s="122">
        <v>1685807</v>
      </c>
      <c r="AF10" s="33"/>
      <c r="AG10" s="33"/>
      <c r="AH10" s="33"/>
      <c r="AI10" s="33"/>
      <c r="AJ10" s="21"/>
      <c r="AK10" s="121" t="s">
        <v>150</v>
      </c>
      <c r="AL10" s="122">
        <v>59640</v>
      </c>
      <c r="AM10" s="33"/>
      <c r="AN10" s="33"/>
      <c r="AO10" s="33"/>
      <c r="AP10" s="33"/>
      <c r="AQ10" s="21"/>
      <c r="AR10" s="121" t="s">
        <v>150</v>
      </c>
      <c r="AS10" s="122">
        <v>279878</v>
      </c>
      <c r="AT10" s="33"/>
      <c r="AU10" s="33"/>
      <c r="AV10" s="33"/>
      <c r="AW10" s="33"/>
      <c r="AX10" s="21"/>
      <c r="AY10" s="121" t="s">
        <v>150</v>
      </c>
      <c r="AZ10" s="122">
        <v>5825</v>
      </c>
      <c r="BA10" s="33"/>
      <c r="BB10" s="33"/>
      <c r="BC10" s="33"/>
      <c r="BD10" s="33"/>
      <c r="BE10" s="22"/>
      <c r="BF10" s="121" t="s">
        <v>150</v>
      </c>
      <c r="BG10" s="122">
        <v>5907</v>
      </c>
      <c r="BH10" s="33"/>
      <c r="BI10" s="33"/>
      <c r="BJ10" s="33"/>
      <c r="BK10" s="33"/>
      <c r="BL10" s="21"/>
      <c r="BM10" s="121" t="s">
        <v>150</v>
      </c>
      <c r="BN10" s="122">
        <v>41013</v>
      </c>
      <c r="BO10" s="33"/>
      <c r="BP10" s="33"/>
      <c r="BQ10" s="33"/>
      <c r="BR10" s="33"/>
      <c r="BS10" s="21"/>
      <c r="BT10" s="121" t="s">
        <v>150</v>
      </c>
      <c r="BU10" s="122">
        <v>1293544</v>
      </c>
      <c r="BV10" s="33"/>
      <c r="BW10" s="33"/>
      <c r="BX10" s="33"/>
      <c r="BY10" s="33"/>
    </row>
    <row r="11" spans="2:77" ht="12.75">
      <c r="C11" s="120"/>
      <c r="G11" s="19"/>
    </row>
    <row r="14" spans="2:77" s="39" customFormat="1" ht="18">
      <c r="B14" s="17" t="s">
        <v>118</v>
      </c>
      <c r="C14" s="37"/>
      <c r="D14" s="37"/>
      <c r="E14" s="37"/>
      <c r="F14" s="37"/>
      <c r="G14" s="37"/>
      <c r="H14" s="38"/>
      <c r="I14" s="17" t="s">
        <v>118</v>
      </c>
      <c r="J14" s="37"/>
      <c r="K14" s="37"/>
      <c r="L14" s="37"/>
      <c r="M14" s="37"/>
      <c r="N14" s="37"/>
      <c r="P14" s="17" t="s">
        <v>118</v>
      </c>
      <c r="Q14" s="37"/>
      <c r="R14" s="37"/>
      <c r="S14" s="37"/>
      <c r="T14" s="37"/>
      <c r="U14" s="37"/>
      <c r="W14" s="17" t="s">
        <v>118</v>
      </c>
      <c r="X14" s="37"/>
      <c r="Y14" s="37"/>
      <c r="Z14" s="37"/>
      <c r="AA14" s="37"/>
      <c r="AB14" s="37"/>
      <c r="AC14" s="40"/>
      <c r="AD14" s="17" t="s">
        <v>118</v>
      </c>
      <c r="AE14" s="37"/>
      <c r="AF14" s="37"/>
      <c r="AG14" s="37"/>
      <c r="AH14" s="37"/>
      <c r="AI14" s="37"/>
      <c r="AK14" s="17" t="s">
        <v>118</v>
      </c>
      <c r="AL14" s="37"/>
      <c r="AM14" s="37"/>
      <c r="AN14" s="37"/>
      <c r="AO14" s="37"/>
      <c r="AP14" s="37"/>
      <c r="AR14" s="17" t="s">
        <v>118</v>
      </c>
      <c r="AS14" s="37"/>
      <c r="AT14" s="37"/>
      <c r="AU14" s="37"/>
      <c r="AV14" s="37"/>
      <c r="AW14" s="37"/>
      <c r="AY14" s="17" t="s">
        <v>118</v>
      </c>
      <c r="AZ14" s="37"/>
      <c r="BA14" s="37"/>
      <c r="BB14" s="37"/>
      <c r="BC14" s="37"/>
      <c r="BD14" s="37"/>
      <c r="BE14" s="41"/>
      <c r="BF14" s="17" t="s">
        <v>118</v>
      </c>
      <c r="BG14" s="37"/>
      <c r="BH14" s="37"/>
      <c r="BI14" s="37"/>
      <c r="BJ14" s="37"/>
      <c r="BK14" s="37"/>
      <c r="BM14" s="17" t="s">
        <v>118</v>
      </c>
      <c r="BN14" s="37"/>
      <c r="BO14" s="37"/>
      <c r="BP14" s="37"/>
      <c r="BQ14" s="37"/>
      <c r="BR14" s="37"/>
      <c r="BT14" s="17" t="s">
        <v>118</v>
      </c>
      <c r="BU14" s="37"/>
      <c r="BV14" s="37"/>
      <c r="BW14" s="37"/>
      <c r="BX14" s="37"/>
      <c r="BY14" s="37"/>
    </row>
    <row r="15" spans="2:77" s="30" customFormat="1" ht="12.75" customHeight="1">
      <c r="B15" s="147" t="s">
        <v>83</v>
      </c>
      <c r="C15" s="145" t="s">
        <v>105</v>
      </c>
      <c r="D15" s="146"/>
      <c r="E15" s="146"/>
      <c r="F15" s="146"/>
      <c r="G15" s="146"/>
      <c r="H15" s="29"/>
      <c r="I15" s="147" t="s">
        <v>83</v>
      </c>
      <c r="J15" s="145" t="s">
        <v>107</v>
      </c>
      <c r="K15" s="146"/>
      <c r="L15" s="146"/>
      <c r="M15" s="146"/>
      <c r="N15" s="146"/>
      <c r="P15" s="147" t="s">
        <v>83</v>
      </c>
      <c r="Q15" s="145" t="s">
        <v>108</v>
      </c>
      <c r="R15" s="146"/>
      <c r="S15" s="146"/>
      <c r="T15" s="146"/>
      <c r="U15" s="146"/>
      <c r="W15" s="147" t="s">
        <v>83</v>
      </c>
      <c r="X15" s="145" t="s">
        <v>109</v>
      </c>
      <c r="Y15" s="146"/>
      <c r="Z15" s="146"/>
      <c r="AA15" s="146"/>
      <c r="AB15" s="146"/>
      <c r="AC15" s="31"/>
      <c r="AD15" s="147" t="s">
        <v>83</v>
      </c>
      <c r="AE15" s="145" t="s">
        <v>110</v>
      </c>
      <c r="AF15" s="146"/>
      <c r="AG15" s="146"/>
      <c r="AH15" s="146"/>
      <c r="AI15" s="146"/>
      <c r="AK15" s="147" t="s">
        <v>83</v>
      </c>
      <c r="AL15" s="145" t="s">
        <v>111</v>
      </c>
      <c r="AM15" s="146"/>
      <c r="AN15" s="146"/>
      <c r="AO15" s="146"/>
      <c r="AP15" s="146"/>
      <c r="AR15" s="147" t="s">
        <v>83</v>
      </c>
      <c r="AS15" s="145" t="s">
        <v>112</v>
      </c>
      <c r="AT15" s="146"/>
      <c r="AU15" s="146"/>
      <c r="AV15" s="146"/>
      <c r="AW15" s="146"/>
      <c r="AY15" s="147" t="s">
        <v>83</v>
      </c>
      <c r="AZ15" s="145" t="s">
        <v>114</v>
      </c>
      <c r="BA15" s="146"/>
      <c r="BB15" s="146"/>
      <c r="BC15" s="146"/>
      <c r="BD15" s="146"/>
      <c r="BE15" s="32"/>
      <c r="BF15" s="147" t="s">
        <v>83</v>
      </c>
      <c r="BG15" s="145" t="s">
        <v>113</v>
      </c>
      <c r="BH15" s="146"/>
      <c r="BI15" s="146"/>
      <c r="BJ15" s="146"/>
      <c r="BK15" s="146"/>
      <c r="BM15" s="147" t="s">
        <v>83</v>
      </c>
      <c r="BN15" s="145" t="s">
        <v>116</v>
      </c>
      <c r="BO15" s="146"/>
      <c r="BP15" s="146"/>
      <c r="BQ15" s="146"/>
      <c r="BR15" s="146"/>
      <c r="BT15" s="147" t="s">
        <v>83</v>
      </c>
      <c r="BU15" s="145" t="s">
        <v>115</v>
      </c>
      <c r="BV15" s="146"/>
      <c r="BW15" s="146"/>
      <c r="BX15" s="146"/>
      <c r="BY15" s="146"/>
    </row>
    <row r="16" spans="2:77" s="30" customFormat="1" ht="12.75" customHeight="1">
      <c r="B16" s="148"/>
      <c r="C16" s="142" t="s">
        <v>99</v>
      </c>
      <c r="D16" s="143"/>
      <c r="E16" s="143"/>
      <c r="F16" s="143"/>
      <c r="G16" s="143"/>
      <c r="H16" s="29"/>
      <c r="I16" s="148" t="s">
        <v>83</v>
      </c>
      <c r="J16" s="142" t="s">
        <v>99</v>
      </c>
      <c r="K16" s="143"/>
      <c r="L16" s="143"/>
      <c r="M16" s="143"/>
      <c r="N16" s="143"/>
      <c r="P16" s="148" t="s">
        <v>83</v>
      </c>
      <c r="Q16" s="142" t="s">
        <v>99</v>
      </c>
      <c r="R16" s="143"/>
      <c r="S16" s="143"/>
      <c r="T16" s="143"/>
      <c r="U16" s="143"/>
      <c r="W16" s="148" t="s">
        <v>83</v>
      </c>
      <c r="X16" s="142" t="s">
        <v>99</v>
      </c>
      <c r="Y16" s="143"/>
      <c r="Z16" s="143"/>
      <c r="AA16" s="143"/>
      <c r="AB16" s="143"/>
      <c r="AC16" s="31"/>
      <c r="AD16" s="148" t="s">
        <v>83</v>
      </c>
      <c r="AE16" s="142" t="s">
        <v>99</v>
      </c>
      <c r="AF16" s="143"/>
      <c r="AG16" s="143"/>
      <c r="AH16" s="143"/>
      <c r="AI16" s="143"/>
      <c r="AK16" s="148" t="s">
        <v>83</v>
      </c>
      <c r="AL16" s="142" t="s">
        <v>99</v>
      </c>
      <c r="AM16" s="143"/>
      <c r="AN16" s="143"/>
      <c r="AO16" s="143"/>
      <c r="AP16" s="143"/>
      <c r="AR16" s="148" t="s">
        <v>83</v>
      </c>
      <c r="AS16" s="142" t="s">
        <v>99</v>
      </c>
      <c r="AT16" s="143"/>
      <c r="AU16" s="143"/>
      <c r="AV16" s="143"/>
      <c r="AW16" s="143"/>
      <c r="AY16" s="148" t="s">
        <v>83</v>
      </c>
      <c r="AZ16" s="142" t="s">
        <v>99</v>
      </c>
      <c r="BA16" s="143"/>
      <c r="BB16" s="143"/>
      <c r="BC16" s="143"/>
      <c r="BD16" s="143"/>
      <c r="BE16" s="32"/>
      <c r="BF16" s="148" t="s">
        <v>83</v>
      </c>
      <c r="BG16" s="142" t="s">
        <v>99</v>
      </c>
      <c r="BH16" s="143"/>
      <c r="BI16" s="143"/>
      <c r="BJ16" s="143"/>
      <c r="BK16" s="143"/>
      <c r="BM16" s="148" t="s">
        <v>83</v>
      </c>
      <c r="BN16" s="142" t="s">
        <v>99</v>
      </c>
      <c r="BO16" s="143"/>
      <c r="BP16" s="143"/>
      <c r="BQ16" s="143"/>
      <c r="BR16" s="143"/>
      <c r="BT16" s="148" t="s">
        <v>83</v>
      </c>
      <c r="BU16" s="142" t="s">
        <v>99</v>
      </c>
      <c r="BV16" s="143"/>
      <c r="BW16" s="143"/>
      <c r="BX16" s="143"/>
      <c r="BY16" s="143"/>
    </row>
    <row r="17" spans="2:77" s="30" customFormat="1" ht="12.75">
      <c r="B17" s="149"/>
      <c r="C17" s="18">
        <v>1</v>
      </c>
      <c r="D17" s="18">
        <v>2</v>
      </c>
      <c r="E17" s="18">
        <v>3</v>
      </c>
      <c r="F17" s="18">
        <v>4</v>
      </c>
      <c r="G17" s="18">
        <v>5</v>
      </c>
      <c r="H17" s="29"/>
      <c r="I17" s="149"/>
      <c r="J17" s="18">
        <v>1</v>
      </c>
      <c r="K17" s="18">
        <v>2</v>
      </c>
      <c r="L17" s="18">
        <v>3</v>
      </c>
      <c r="M17" s="18">
        <v>4</v>
      </c>
      <c r="N17" s="18">
        <v>5</v>
      </c>
      <c r="P17" s="149"/>
      <c r="Q17" s="18">
        <v>1</v>
      </c>
      <c r="R17" s="18">
        <v>2</v>
      </c>
      <c r="S17" s="18">
        <v>3</v>
      </c>
      <c r="T17" s="18">
        <v>4</v>
      </c>
      <c r="U17" s="18">
        <v>5</v>
      </c>
      <c r="W17" s="149"/>
      <c r="X17" s="18">
        <v>1</v>
      </c>
      <c r="Y17" s="18">
        <v>2</v>
      </c>
      <c r="Z17" s="18">
        <v>3</v>
      </c>
      <c r="AA17" s="18">
        <v>4</v>
      </c>
      <c r="AB17" s="18">
        <v>5</v>
      </c>
      <c r="AC17" s="31"/>
      <c r="AD17" s="149"/>
      <c r="AE17" s="18">
        <v>1</v>
      </c>
      <c r="AF17" s="18">
        <v>2</v>
      </c>
      <c r="AG17" s="18">
        <v>3</v>
      </c>
      <c r="AH17" s="18">
        <v>4</v>
      </c>
      <c r="AI17" s="18">
        <v>5</v>
      </c>
      <c r="AK17" s="149"/>
      <c r="AL17" s="18">
        <v>1</v>
      </c>
      <c r="AM17" s="18">
        <v>2</v>
      </c>
      <c r="AN17" s="18">
        <v>3</v>
      </c>
      <c r="AO17" s="18">
        <v>4</v>
      </c>
      <c r="AP17" s="18">
        <v>5</v>
      </c>
      <c r="AR17" s="149"/>
      <c r="AS17" s="18">
        <v>1</v>
      </c>
      <c r="AT17" s="18">
        <v>2</v>
      </c>
      <c r="AU17" s="18">
        <v>3</v>
      </c>
      <c r="AV17" s="18">
        <v>4</v>
      </c>
      <c r="AW17" s="18">
        <v>5</v>
      </c>
      <c r="AY17" s="149"/>
      <c r="AZ17" s="18">
        <v>1</v>
      </c>
      <c r="BA17" s="18">
        <v>2</v>
      </c>
      <c r="BB17" s="18">
        <v>3</v>
      </c>
      <c r="BC17" s="18">
        <v>4</v>
      </c>
      <c r="BD17" s="18">
        <v>5</v>
      </c>
      <c r="BE17" s="32"/>
      <c r="BF17" s="149"/>
      <c r="BG17" s="18">
        <v>1</v>
      </c>
      <c r="BH17" s="18">
        <v>2</v>
      </c>
      <c r="BI17" s="18">
        <v>3</v>
      </c>
      <c r="BJ17" s="18">
        <v>4</v>
      </c>
      <c r="BK17" s="18">
        <v>5</v>
      </c>
      <c r="BM17" s="149"/>
      <c r="BN17" s="18">
        <v>1</v>
      </c>
      <c r="BO17" s="18">
        <v>2</v>
      </c>
      <c r="BP17" s="18">
        <v>3</v>
      </c>
      <c r="BQ17" s="18">
        <v>4</v>
      </c>
      <c r="BR17" s="18">
        <v>5</v>
      </c>
      <c r="BT17" s="149"/>
      <c r="BU17" s="18">
        <v>1</v>
      </c>
      <c r="BV17" s="18">
        <v>2</v>
      </c>
      <c r="BW17" s="18">
        <v>3</v>
      </c>
      <c r="BX17" s="18">
        <v>4</v>
      </c>
      <c r="BY17" s="18">
        <v>5</v>
      </c>
    </row>
    <row r="18" spans="2:77" s="34" customFormat="1" ht="14.25" customHeight="1" thickBot="1">
      <c r="B18" s="24" t="s">
        <v>127</v>
      </c>
      <c r="C18" s="107">
        <v>0.27841886598307725</v>
      </c>
      <c r="D18" s="107">
        <v>0.2940419289321281</v>
      </c>
      <c r="E18" s="107">
        <v>0.30495302693470205</v>
      </c>
      <c r="F18" s="107">
        <v>0.30532208391354115</v>
      </c>
      <c r="G18" s="124">
        <v>0.30550841637116377</v>
      </c>
      <c r="H18" s="33"/>
      <c r="I18" s="24" t="s">
        <v>127</v>
      </c>
      <c r="J18" s="107">
        <v>0.14038829711599807</v>
      </c>
      <c r="K18" s="107">
        <v>0.14729679702356913</v>
      </c>
      <c r="L18" s="107">
        <v>0.15804204633650396</v>
      </c>
      <c r="M18" s="107">
        <v>0.1582986753615245</v>
      </c>
      <c r="N18" s="124">
        <v>0.15839981396594302</v>
      </c>
      <c r="P18" s="24" t="s">
        <v>127</v>
      </c>
      <c r="Q18" s="107">
        <v>1.6405635994056811E-2</v>
      </c>
      <c r="R18" s="107">
        <v>1.8511507004814926E-2</v>
      </c>
      <c r="S18" s="107">
        <v>1.9242754244816761E-2</v>
      </c>
      <c r="T18" s="107">
        <v>1.9343310924008483E-2</v>
      </c>
      <c r="U18" s="124">
        <v>1.9397895510282693E-2</v>
      </c>
      <c r="W18" s="24" t="s">
        <v>127</v>
      </c>
      <c r="X18" s="107">
        <v>0.12398266112194124</v>
      </c>
      <c r="Y18" s="107">
        <v>0.12878529001875419</v>
      </c>
      <c r="Z18" s="107">
        <v>0.1387992920916872</v>
      </c>
      <c r="AA18" s="107">
        <v>0.13895536443751602</v>
      </c>
      <c r="AB18" s="124">
        <v>0.13900191845566034</v>
      </c>
      <c r="AC18" s="35"/>
      <c r="AD18" s="24" t="s">
        <v>127</v>
      </c>
      <c r="AE18" s="107">
        <v>0.17659135212062835</v>
      </c>
      <c r="AF18" s="107">
        <v>0.18774045107216072</v>
      </c>
      <c r="AG18" s="107">
        <v>0.18795263192884482</v>
      </c>
      <c r="AH18" s="107">
        <v>0.1880964682148496</v>
      </c>
      <c r="AI18" s="124">
        <v>0.18820546217070414</v>
      </c>
      <c r="AJ18" s="35"/>
      <c r="AK18" s="24" t="s">
        <v>127</v>
      </c>
      <c r="AL18" s="107">
        <v>4.6262871699468645E-3</v>
      </c>
      <c r="AM18" s="107">
        <v>4.9176822131263304E-3</v>
      </c>
      <c r="AN18" s="107">
        <v>4.9540135317445166E-3</v>
      </c>
      <c r="AO18" s="107">
        <v>5.0542224556381198E-3</v>
      </c>
      <c r="AP18" s="124">
        <v>5.1422216740944632E-3</v>
      </c>
      <c r="AQ18" s="35"/>
      <c r="AR18" s="24" t="s">
        <v>127</v>
      </c>
      <c r="AS18" s="107">
        <v>3.2785739278283238E-2</v>
      </c>
      <c r="AT18" s="107">
        <v>3.4319248501433634E-2</v>
      </c>
      <c r="AU18" s="107">
        <v>3.4332798296492058E-2</v>
      </c>
      <c r="AV18" s="107">
        <v>3.4336967464202339E-2</v>
      </c>
      <c r="AW18" s="124">
        <v>3.43384564526703E-2</v>
      </c>
      <c r="AX18" s="35"/>
      <c r="AY18" s="24" t="s">
        <v>127</v>
      </c>
      <c r="AZ18" s="107">
        <v>4.2168153412582943E-4</v>
      </c>
      <c r="BA18" s="107">
        <v>4.6932916510049945E-4</v>
      </c>
      <c r="BB18" s="107">
        <v>4.709670524152537E-4</v>
      </c>
      <c r="BC18" s="107">
        <v>4.7111595126204958E-4</v>
      </c>
      <c r="BD18" s="124">
        <v>4.7141374895564122E-4</v>
      </c>
      <c r="BE18" s="36"/>
      <c r="BF18" s="24" t="s">
        <v>127</v>
      </c>
      <c r="BG18" s="107">
        <v>6.2031259575148496E-4</v>
      </c>
      <c r="BH18" s="107">
        <v>6.5441043166773315E-4</v>
      </c>
      <c r="BI18" s="107">
        <v>6.5560162244209994E-4</v>
      </c>
      <c r="BJ18" s="107">
        <v>6.5619721782928333E-4</v>
      </c>
      <c r="BK18" s="124">
        <v>6.5619721782928333E-4</v>
      </c>
      <c r="BL18" s="35"/>
      <c r="BM18" s="24" t="s">
        <v>127</v>
      </c>
      <c r="BN18" s="107">
        <v>3.5813150631336331E-3</v>
      </c>
      <c r="BO18" s="107">
        <v>3.9852776344907574E-3</v>
      </c>
      <c r="BP18" s="107">
        <v>3.995253857226079E-3</v>
      </c>
      <c r="BQ18" s="107">
        <v>4.0026987995658708E-3</v>
      </c>
      <c r="BR18" s="124">
        <v>4.006272371888971E-3</v>
      </c>
      <c r="BS18" s="35"/>
      <c r="BT18" s="24" t="s">
        <v>127</v>
      </c>
      <c r="BU18" s="107">
        <v>0.42227536868308185</v>
      </c>
      <c r="BV18" s="107">
        <v>0.45001307454787276</v>
      </c>
      <c r="BW18" s="107">
        <v>0.45048223098056622</v>
      </c>
      <c r="BX18" s="107">
        <v>0.45058036131011364</v>
      </c>
      <c r="BY18" s="124">
        <v>0.45062942647488735</v>
      </c>
    </row>
    <row r="19" spans="2:77" s="20" customFormat="1" ht="14.25" customHeight="1" thickBot="1">
      <c r="B19" s="24" t="s">
        <v>133</v>
      </c>
      <c r="C19" s="106">
        <v>0.35985650823320064</v>
      </c>
      <c r="D19" s="106">
        <v>0.38463488439051263</v>
      </c>
      <c r="E19" s="106">
        <v>0.40033883494608924</v>
      </c>
      <c r="F19" s="125">
        <v>0.40066552776841696</v>
      </c>
      <c r="G19" s="19"/>
      <c r="H19" s="19"/>
      <c r="I19" s="24" t="s">
        <v>133</v>
      </c>
      <c r="J19" s="106">
        <v>0.18320914854532097</v>
      </c>
      <c r="K19" s="106">
        <v>0.19438944515781442</v>
      </c>
      <c r="L19" s="106">
        <v>0.20986679403007358</v>
      </c>
      <c r="M19" s="125">
        <v>0.21015030800057247</v>
      </c>
      <c r="N19" s="19"/>
      <c r="P19" s="24" t="s">
        <v>133</v>
      </c>
      <c r="Q19" s="106">
        <v>2.0721775401261668E-2</v>
      </c>
      <c r="R19" s="106">
        <v>2.3433314188077328E-2</v>
      </c>
      <c r="S19" s="106">
        <v>2.4597630181866659E-2</v>
      </c>
      <c r="T19" s="125">
        <v>2.4722860490674868E-2</v>
      </c>
      <c r="U19" s="19"/>
      <c r="W19" s="24" t="s">
        <v>133</v>
      </c>
      <c r="X19" s="106">
        <v>0.16248737314405931</v>
      </c>
      <c r="Y19" s="106">
        <v>0.17095613096973711</v>
      </c>
      <c r="Z19" s="106">
        <v>0.18526916384820694</v>
      </c>
      <c r="AA19" s="125">
        <v>0.18542744750989759</v>
      </c>
      <c r="AB19" s="19"/>
      <c r="AC19" s="21"/>
      <c r="AD19" s="24" t="s">
        <v>133</v>
      </c>
      <c r="AE19" s="106">
        <v>0.22599628728518287</v>
      </c>
      <c r="AF19" s="106">
        <v>0.24339318184826886</v>
      </c>
      <c r="AG19" s="106">
        <v>0.24368308790298038</v>
      </c>
      <c r="AH19" s="125">
        <v>0.24373832937514164</v>
      </c>
      <c r="AI19" s="19"/>
      <c r="AJ19" s="21"/>
      <c r="AK19" s="24" t="s">
        <v>133</v>
      </c>
      <c r="AL19" s="106">
        <v>5.7346901854951251E-3</v>
      </c>
      <c r="AM19" s="106">
        <v>6.102023640540472E-3</v>
      </c>
      <c r="AN19" s="106">
        <v>6.1388016556990456E-3</v>
      </c>
      <c r="AO19" s="125">
        <v>6.1612853815652176E-3</v>
      </c>
      <c r="AP19" s="19"/>
      <c r="AQ19" s="21"/>
      <c r="AR19" s="24" t="s">
        <v>133</v>
      </c>
      <c r="AS19" s="106">
        <v>4.3379594430113931E-2</v>
      </c>
      <c r="AT19" s="106">
        <v>4.5887497706696326E-2</v>
      </c>
      <c r="AU19" s="106">
        <v>4.5909832533715701E-2</v>
      </c>
      <c r="AV19" s="125">
        <v>4.5912363814111228E-2</v>
      </c>
      <c r="AW19" s="19"/>
      <c r="AX19" s="21"/>
      <c r="AY19" s="24" t="s">
        <v>133</v>
      </c>
      <c r="AZ19" s="106">
        <v>5.1935917762390294E-4</v>
      </c>
      <c r="BA19" s="106">
        <v>5.8144999673776974E-4</v>
      </c>
      <c r="BB19" s="106">
        <v>5.8264118751213652E-4</v>
      </c>
      <c r="BC19" s="125">
        <v>5.8308788405252404E-4</v>
      </c>
      <c r="BD19" s="19"/>
      <c r="BE19" s="22"/>
      <c r="BF19" s="24" t="s">
        <v>133</v>
      </c>
      <c r="BG19" s="106">
        <v>7.2096821618547534E-4</v>
      </c>
      <c r="BH19" s="106">
        <v>7.6102200597355724E-4</v>
      </c>
      <c r="BI19" s="106">
        <v>7.6295769098190329E-4</v>
      </c>
      <c r="BJ19" s="125">
        <v>7.6355328636908669E-4</v>
      </c>
      <c r="BK19" s="19"/>
      <c r="BL19" s="21"/>
      <c r="BM19" s="24" t="s">
        <v>133</v>
      </c>
      <c r="BN19" s="106">
        <v>4.1979051877152219E-3</v>
      </c>
      <c r="BO19" s="106">
        <v>4.8348944543078415E-3</v>
      </c>
      <c r="BP19" s="106">
        <v>4.8542513043913016E-3</v>
      </c>
      <c r="BQ19" s="125">
        <v>4.8584204721015848E-3</v>
      </c>
      <c r="BR19" s="19"/>
      <c r="BS19" s="21"/>
      <c r="BT19" s="24" t="s">
        <v>133</v>
      </c>
      <c r="BU19" s="106">
        <v>0.5608243841010464</v>
      </c>
      <c r="BV19" s="106">
        <v>0.60590957736873718</v>
      </c>
      <c r="BW19" s="106">
        <v>0.60659099635236458</v>
      </c>
      <c r="BX19" s="125">
        <v>0.60667282507949061</v>
      </c>
      <c r="BY19" s="19"/>
    </row>
    <row r="20" spans="2:77" s="20" customFormat="1" ht="14.25" customHeight="1" thickBot="1">
      <c r="B20" s="24" t="s">
        <v>140</v>
      </c>
      <c r="C20" s="107">
        <v>0.39615746942141217</v>
      </c>
      <c r="D20" s="107">
        <v>0.42601931158999268</v>
      </c>
      <c r="E20" s="124">
        <v>0.44275548111287411</v>
      </c>
      <c r="F20" s="19"/>
      <c r="G20" s="19"/>
      <c r="H20" s="19"/>
      <c r="I20" s="24" t="s">
        <v>140</v>
      </c>
      <c r="J20" s="107">
        <v>0.20078596725084338</v>
      </c>
      <c r="K20" s="107">
        <v>0.21363499264371985</v>
      </c>
      <c r="L20" s="124">
        <v>0.23011092520517459</v>
      </c>
      <c r="M20" s="19"/>
      <c r="N20" s="19"/>
      <c r="P20" s="24" t="s">
        <v>140</v>
      </c>
      <c r="Q20" s="107">
        <v>2.1571037077259346E-2</v>
      </c>
      <c r="R20" s="107">
        <v>2.4030253085732815E-2</v>
      </c>
      <c r="S20" s="124">
        <v>2.5118220489765471E-2</v>
      </c>
      <c r="T20" s="19"/>
      <c r="U20" s="19"/>
      <c r="W20" s="24" t="s">
        <v>140</v>
      </c>
      <c r="X20" s="107">
        <v>0.17921493017358406</v>
      </c>
      <c r="Y20" s="107">
        <v>0.18960473955798704</v>
      </c>
      <c r="Z20" s="124">
        <v>0.20499270471540912</v>
      </c>
      <c r="AA20" s="19"/>
      <c r="AB20" s="19"/>
      <c r="AC20" s="21"/>
      <c r="AD20" s="24" t="s">
        <v>140</v>
      </c>
      <c r="AE20" s="107">
        <v>0.24995128265654501</v>
      </c>
      <c r="AF20" s="107">
        <v>0.27171686938462108</v>
      </c>
      <c r="AG20" s="124">
        <v>0.27204980720605659</v>
      </c>
      <c r="AH20" s="19"/>
      <c r="AI20" s="19"/>
      <c r="AJ20" s="21"/>
      <c r="AK20" s="24" t="s">
        <v>140</v>
      </c>
      <c r="AL20" s="107">
        <v>7.7585233111442335E-3</v>
      </c>
      <c r="AM20" s="107">
        <v>8.1997105942003181E-3</v>
      </c>
      <c r="AN20" s="124">
        <v>8.2278524762447319E-3</v>
      </c>
      <c r="AO20" s="19"/>
      <c r="AP20" s="19"/>
      <c r="AQ20" s="21"/>
      <c r="AR20" s="24" t="s">
        <v>140</v>
      </c>
      <c r="AS20" s="107">
        <v>5.2949174414836007E-2</v>
      </c>
      <c r="AT20" s="107">
        <v>5.6685046480943725E-2</v>
      </c>
      <c r="AU20" s="124">
        <v>5.6703658836793208E-2</v>
      </c>
      <c r="AV20" s="19"/>
      <c r="AW20" s="19"/>
      <c r="AX20" s="21"/>
      <c r="AY20" s="24" t="s">
        <v>140</v>
      </c>
      <c r="AZ20" s="107">
        <v>6.3579807581825274E-4</v>
      </c>
      <c r="BA20" s="107">
        <v>7.0563163496550343E-4</v>
      </c>
      <c r="BB20" s="124">
        <v>7.0712062343346186E-4</v>
      </c>
      <c r="BC20" s="19"/>
      <c r="BD20" s="19"/>
      <c r="BE20" s="22"/>
      <c r="BF20" s="24" t="s">
        <v>140</v>
      </c>
      <c r="BG20" s="107">
        <v>7.5536384979531528E-4</v>
      </c>
      <c r="BH20" s="107">
        <v>8.0554276116551454E-4</v>
      </c>
      <c r="BI20" s="124">
        <v>8.0703174963347296E-4</v>
      </c>
      <c r="BJ20" s="19"/>
      <c r="BK20" s="19"/>
      <c r="BL20" s="21"/>
      <c r="BM20" s="24" t="s">
        <v>140</v>
      </c>
      <c r="BN20" s="107">
        <v>4.367500974215688E-3</v>
      </c>
      <c r="BO20" s="107">
        <v>5.0586894210419946E-3</v>
      </c>
      <c r="BP20" s="124">
        <v>5.1309053617379788E-3</v>
      </c>
      <c r="BQ20" s="19"/>
      <c r="BR20" s="19"/>
      <c r="BS20" s="21"/>
      <c r="BT20" s="24" t="s">
        <v>140</v>
      </c>
      <c r="BU20" s="107">
        <v>0.57675202108752732</v>
      </c>
      <c r="BV20" s="107">
        <v>0.62948854481961902</v>
      </c>
      <c r="BW20" s="124">
        <v>0.63015175308161242</v>
      </c>
      <c r="BX20" s="19"/>
      <c r="BY20" s="19"/>
    </row>
    <row r="21" spans="2:77" s="20" customFormat="1" ht="14.25" customHeight="1" thickBot="1">
      <c r="B21" s="24" t="s">
        <v>141</v>
      </c>
      <c r="C21" s="106">
        <v>0.39585824346978959</v>
      </c>
      <c r="D21" s="125">
        <v>0.41822616895263426</v>
      </c>
      <c r="E21" s="19"/>
      <c r="F21" s="19"/>
      <c r="G21" s="19"/>
      <c r="H21" s="19"/>
      <c r="I21" s="24" t="s">
        <v>141</v>
      </c>
      <c r="J21" s="106">
        <v>0.19474569978166381</v>
      </c>
      <c r="K21" s="125">
        <v>0.203912651494461</v>
      </c>
      <c r="L21" s="19"/>
      <c r="M21" s="19"/>
      <c r="N21" s="19"/>
      <c r="P21" s="24" t="s">
        <v>141</v>
      </c>
      <c r="Q21" s="106">
        <v>2.2380727837834354E-2</v>
      </c>
      <c r="R21" s="125">
        <v>2.4899416604487187E-2</v>
      </c>
      <c r="S21" s="19"/>
      <c r="T21" s="19"/>
      <c r="U21" s="19"/>
      <c r="W21" s="24" t="s">
        <v>141</v>
      </c>
      <c r="X21" s="106">
        <v>0.17236497194382946</v>
      </c>
      <c r="Y21" s="125">
        <v>0.17901323488997381</v>
      </c>
      <c r="Z21" s="19"/>
      <c r="AA21" s="19"/>
      <c r="AB21" s="19"/>
      <c r="AC21" s="21"/>
      <c r="AD21" s="24" t="s">
        <v>141</v>
      </c>
      <c r="AE21" s="106">
        <v>0.25729616497129038</v>
      </c>
      <c r="AF21" s="125">
        <v>0.27418501666910894</v>
      </c>
      <c r="AG21" s="19"/>
      <c r="AH21" s="19"/>
      <c r="AI21" s="19"/>
      <c r="AJ21" s="21"/>
      <c r="AK21" s="24" t="s">
        <v>141</v>
      </c>
      <c r="AL21" s="106">
        <v>9.3423603445116233E-3</v>
      </c>
      <c r="AM21" s="125">
        <v>9.8590393428931999E-3</v>
      </c>
      <c r="AN21" s="19"/>
      <c r="AO21" s="19"/>
      <c r="AP21" s="19"/>
      <c r="AQ21" s="21"/>
      <c r="AR21" s="24" t="s">
        <v>141</v>
      </c>
      <c r="AS21" s="106">
        <v>5.513054252039512E-2</v>
      </c>
      <c r="AT21" s="125">
        <v>5.8430140965391016E-2</v>
      </c>
      <c r="AU21" s="19"/>
      <c r="AV21" s="19"/>
      <c r="AW21" s="19"/>
      <c r="AX21" s="21"/>
      <c r="AY21" s="24" t="s">
        <v>141</v>
      </c>
      <c r="AZ21" s="106">
        <v>6.8344570679292266E-4</v>
      </c>
      <c r="BA21" s="125">
        <v>7.6265989328831154E-4</v>
      </c>
      <c r="BB21" s="19"/>
      <c r="BC21" s="19"/>
      <c r="BD21" s="19"/>
      <c r="BE21" s="22"/>
      <c r="BF21" s="24" t="s">
        <v>141</v>
      </c>
      <c r="BG21" s="106">
        <v>7.5164137862541915E-4</v>
      </c>
      <c r="BH21" s="125">
        <v>8.0122469460843513E-4</v>
      </c>
      <c r="BI21" s="19"/>
      <c r="BJ21" s="19"/>
      <c r="BK21" s="19"/>
      <c r="BL21" s="21"/>
      <c r="BM21" s="24" t="s">
        <v>141</v>
      </c>
      <c r="BN21" s="106">
        <v>5.1315009571251628E-3</v>
      </c>
      <c r="BO21" s="125">
        <v>5.8896938850095983E-3</v>
      </c>
      <c r="BP21" s="19"/>
      <c r="BQ21" s="19"/>
      <c r="BR21" s="19"/>
      <c r="BS21" s="21"/>
      <c r="BT21" s="24" t="s">
        <v>141</v>
      </c>
      <c r="BU21" s="106">
        <v>0.61786029879262083</v>
      </c>
      <c r="BV21" s="125">
        <v>0.65828294941896526</v>
      </c>
      <c r="BW21" s="19"/>
      <c r="BX21" s="19"/>
      <c r="BY21" s="19"/>
    </row>
    <row r="22" spans="2:77" s="20" customFormat="1" ht="14.25" customHeight="1" thickBot="1">
      <c r="B22" s="121" t="s">
        <v>150</v>
      </c>
      <c r="C22" s="124">
        <v>0.39981626609241927</v>
      </c>
      <c r="D22" s="19"/>
      <c r="E22" s="19"/>
      <c r="F22" s="19"/>
      <c r="G22" s="19"/>
      <c r="H22" s="19"/>
      <c r="I22" s="121" t="s">
        <v>150</v>
      </c>
      <c r="J22" s="124">
        <v>0.20361354192788375</v>
      </c>
      <c r="K22" s="19"/>
      <c r="L22" s="19"/>
      <c r="M22" s="19"/>
      <c r="N22" s="19"/>
      <c r="P22" s="121" t="s">
        <v>150</v>
      </c>
      <c r="Q22" s="124">
        <v>2.4718787014087241E-2</v>
      </c>
      <c r="R22" s="19"/>
      <c r="S22" s="19"/>
      <c r="T22" s="19"/>
      <c r="U22" s="19"/>
      <c r="W22" s="121" t="s">
        <v>150</v>
      </c>
      <c r="X22" s="124">
        <v>0.17889475491379653</v>
      </c>
      <c r="Y22" s="19"/>
      <c r="Z22" s="19"/>
      <c r="AA22" s="19"/>
      <c r="AB22" s="19"/>
      <c r="AC22" s="21"/>
      <c r="AD22" s="121" t="s">
        <v>150</v>
      </c>
      <c r="AE22" s="124">
        <v>0.25101471822036092</v>
      </c>
      <c r="AF22" s="19"/>
      <c r="AG22" s="19"/>
      <c r="AH22" s="19"/>
      <c r="AI22" s="19"/>
      <c r="AJ22" s="21"/>
      <c r="AK22" s="121" t="s">
        <v>150</v>
      </c>
      <c r="AL22" s="124">
        <v>8.8803272229041191E-3</v>
      </c>
      <c r="AM22" s="19"/>
      <c r="AN22" s="19"/>
      <c r="AO22" s="19"/>
      <c r="AP22" s="19"/>
      <c r="AQ22" s="21"/>
      <c r="AR22" s="121" t="s">
        <v>150</v>
      </c>
      <c r="AS22" s="124">
        <v>4.1673511443527149E-2</v>
      </c>
      <c r="AT22" s="19"/>
      <c r="AU22" s="19"/>
      <c r="AV22" s="19"/>
      <c r="AW22" s="19"/>
      <c r="AX22" s="21"/>
      <c r="AY22" s="121" t="s">
        <v>150</v>
      </c>
      <c r="AZ22" s="124">
        <v>8.6733578258578969E-4</v>
      </c>
      <c r="BA22" s="19"/>
      <c r="BB22" s="19"/>
      <c r="BC22" s="19"/>
      <c r="BD22" s="19"/>
      <c r="BE22" s="22"/>
      <c r="BF22" s="121" t="s">
        <v>150</v>
      </c>
      <c r="BG22" s="124">
        <v>8.7954548802304886E-4</v>
      </c>
      <c r="BH22" s="19"/>
      <c r="BI22" s="19"/>
      <c r="BJ22" s="19"/>
      <c r="BK22" s="19"/>
      <c r="BL22" s="21"/>
      <c r="BM22" s="121" t="s">
        <v>150</v>
      </c>
      <c r="BN22" s="124">
        <v>6.1067884036379392E-3</v>
      </c>
      <c r="BO22" s="19"/>
      <c r="BP22" s="19"/>
      <c r="BQ22" s="19"/>
      <c r="BR22" s="19"/>
      <c r="BS22" s="21"/>
      <c r="BT22" s="121" t="s">
        <v>150</v>
      </c>
      <c r="BU22" s="124">
        <v>0.60542306771577492</v>
      </c>
      <c r="BV22" s="19"/>
      <c r="BW22" s="19"/>
      <c r="BX22" s="19"/>
      <c r="BY22" s="19"/>
    </row>
    <row r="23" spans="2:77">
      <c r="C23" s="94"/>
      <c r="D23" s="15"/>
      <c r="E23" s="15"/>
      <c r="F23" s="15"/>
      <c r="G23" s="15"/>
      <c r="J23" s="15"/>
      <c r="K23" s="15"/>
      <c r="L23" s="15"/>
      <c r="M23" s="15"/>
      <c r="N23" s="15"/>
      <c r="Q23" s="15"/>
      <c r="R23" s="15"/>
      <c r="S23" s="15"/>
      <c r="T23" s="15"/>
      <c r="U23" s="15"/>
      <c r="X23" s="15"/>
      <c r="Y23" s="15"/>
      <c r="Z23" s="15"/>
      <c r="AA23" s="15"/>
      <c r="AB23" s="15"/>
      <c r="AE23" s="15"/>
      <c r="AF23" s="15"/>
      <c r="AG23" s="15"/>
      <c r="AH23" s="15"/>
      <c r="AI23" s="15"/>
      <c r="AL23" s="15"/>
      <c r="AM23" s="15"/>
      <c r="AN23" s="15"/>
      <c r="AO23" s="15"/>
      <c r="AP23" s="15"/>
      <c r="AS23" s="15"/>
      <c r="AT23" s="15"/>
      <c r="AU23" s="15"/>
      <c r="AV23" s="15"/>
      <c r="AW23" s="15"/>
      <c r="AZ23" s="15"/>
      <c r="BA23" s="15"/>
      <c r="BB23" s="15"/>
      <c r="BC23" s="15"/>
      <c r="BD23" s="15"/>
      <c r="BG23" s="15"/>
      <c r="BH23" s="15"/>
      <c r="BI23" s="15"/>
      <c r="BJ23" s="15"/>
      <c r="BK23" s="15"/>
      <c r="BN23" s="15"/>
      <c r="BO23" s="15"/>
      <c r="BP23" s="15"/>
      <c r="BQ23" s="15"/>
      <c r="BR23" s="15"/>
      <c r="BU23" s="15"/>
      <c r="BV23" s="15"/>
      <c r="BW23" s="15"/>
      <c r="BX23" s="15"/>
      <c r="BY23" s="15"/>
    </row>
    <row r="24" spans="2:77">
      <c r="C24" s="15"/>
      <c r="D24" s="15"/>
      <c r="E24" s="15"/>
      <c r="F24" s="15"/>
      <c r="G24" s="15"/>
      <c r="J24" s="15"/>
      <c r="K24" s="15"/>
      <c r="L24" s="15"/>
      <c r="M24" s="15"/>
      <c r="N24" s="15"/>
      <c r="Q24" s="15"/>
      <c r="R24" s="15"/>
      <c r="S24" s="15"/>
      <c r="T24" s="15"/>
      <c r="U24" s="15"/>
      <c r="X24" s="15"/>
      <c r="Y24" s="15"/>
      <c r="Z24" s="15"/>
      <c r="AA24" s="15"/>
      <c r="AB24" s="15"/>
      <c r="AE24" s="15"/>
      <c r="AF24" s="15"/>
      <c r="AG24" s="15"/>
      <c r="AH24" s="15"/>
      <c r="AI24" s="15"/>
      <c r="AL24" s="15"/>
      <c r="AM24" s="15"/>
      <c r="AN24" s="15"/>
      <c r="AO24" s="15"/>
      <c r="AP24" s="15"/>
      <c r="AS24" s="15"/>
      <c r="AT24" s="15"/>
      <c r="AU24" s="15"/>
      <c r="AV24" s="15"/>
      <c r="AW24" s="15"/>
      <c r="AZ24" s="15"/>
      <c r="BA24" s="15"/>
      <c r="BB24" s="15"/>
      <c r="BC24" s="15"/>
      <c r="BD24" s="15"/>
      <c r="BG24" s="15"/>
      <c r="BH24" s="15"/>
      <c r="BI24" s="15"/>
      <c r="BJ24" s="15"/>
      <c r="BK24" s="15"/>
      <c r="BN24" s="15"/>
      <c r="BO24" s="15"/>
      <c r="BP24" s="15"/>
      <c r="BQ24" s="15"/>
      <c r="BR24" s="15"/>
      <c r="BU24" s="15"/>
      <c r="BV24" s="15"/>
      <c r="BW24" s="15"/>
      <c r="BX24" s="15"/>
      <c r="BY24" s="15"/>
    </row>
    <row r="25" spans="2:77" s="39" customFormat="1" ht="18">
      <c r="B25" s="17" t="s">
        <v>119</v>
      </c>
      <c r="C25" s="37"/>
      <c r="D25" s="37"/>
      <c r="E25" s="37"/>
      <c r="F25" s="37"/>
      <c r="G25" s="37"/>
      <c r="H25" s="38"/>
      <c r="I25" s="17" t="s">
        <v>119</v>
      </c>
      <c r="J25" s="37"/>
      <c r="K25" s="37"/>
      <c r="L25" s="37"/>
      <c r="M25" s="37"/>
      <c r="N25" s="37"/>
      <c r="P25" s="17" t="s">
        <v>119</v>
      </c>
      <c r="Q25" s="37"/>
      <c r="R25" s="37"/>
      <c r="S25" s="37"/>
      <c r="T25" s="37"/>
      <c r="U25" s="37"/>
      <c r="W25" s="17" t="s">
        <v>119</v>
      </c>
      <c r="X25" s="37"/>
      <c r="Y25" s="37"/>
      <c r="Z25" s="37"/>
      <c r="AA25" s="37"/>
      <c r="AB25" s="37"/>
      <c r="AC25" s="40"/>
      <c r="AD25" s="17" t="s">
        <v>119</v>
      </c>
      <c r="AE25" s="37"/>
      <c r="AF25" s="37"/>
      <c r="AG25" s="37"/>
      <c r="AH25" s="37"/>
      <c r="AI25" s="37"/>
      <c r="AK25" s="17" t="s">
        <v>119</v>
      </c>
      <c r="AL25" s="37"/>
      <c r="AM25" s="37"/>
      <c r="AN25" s="37"/>
      <c r="AO25" s="37"/>
      <c r="AP25" s="37"/>
      <c r="AR25" s="17" t="s">
        <v>119</v>
      </c>
      <c r="AS25" s="37"/>
      <c r="AT25" s="37"/>
      <c r="AU25" s="37"/>
      <c r="AV25" s="37"/>
      <c r="AW25" s="37"/>
      <c r="AY25" s="17" t="s">
        <v>119</v>
      </c>
      <c r="AZ25" s="37"/>
      <c r="BA25" s="37"/>
      <c r="BB25" s="37"/>
      <c r="BC25" s="37"/>
      <c r="BD25" s="37"/>
      <c r="BE25" s="41"/>
      <c r="BF25" s="17" t="s">
        <v>119</v>
      </c>
      <c r="BG25" s="37"/>
      <c r="BH25" s="37"/>
      <c r="BI25" s="37"/>
      <c r="BJ25" s="37"/>
      <c r="BK25" s="37"/>
      <c r="BM25" s="17" t="s">
        <v>119</v>
      </c>
      <c r="BN25" s="37"/>
      <c r="BO25" s="37"/>
      <c r="BP25" s="37"/>
      <c r="BQ25" s="37"/>
      <c r="BR25" s="37"/>
      <c r="BT25" s="17" t="s">
        <v>119</v>
      </c>
      <c r="BU25" s="37"/>
      <c r="BV25" s="37"/>
      <c r="BW25" s="37"/>
      <c r="BX25" s="37"/>
      <c r="BY25" s="37"/>
    </row>
    <row r="26" spans="2:77" s="30" customFormat="1" ht="12.75" customHeight="1">
      <c r="B26" s="144" t="s">
        <v>83</v>
      </c>
      <c r="C26" s="145" t="s">
        <v>105</v>
      </c>
      <c r="D26" s="146"/>
      <c r="E26" s="146"/>
      <c r="F26" s="146"/>
      <c r="G26" s="146"/>
      <c r="H26" s="29"/>
      <c r="I26" s="144" t="s">
        <v>83</v>
      </c>
      <c r="J26" s="145" t="s">
        <v>107</v>
      </c>
      <c r="K26" s="146"/>
      <c r="L26" s="146"/>
      <c r="M26" s="146"/>
      <c r="N26" s="146"/>
      <c r="P26" s="144" t="s">
        <v>83</v>
      </c>
      <c r="Q26" s="145" t="s">
        <v>108</v>
      </c>
      <c r="R26" s="146"/>
      <c r="S26" s="146"/>
      <c r="T26" s="146"/>
      <c r="U26" s="146"/>
      <c r="W26" s="144" t="s">
        <v>83</v>
      </c>
      <c r="X26" s="145" t="s">
        <v>109</v>
      </c>
      <c r="Y26" s="146"/>
      <c r="Z26" s="146"/>
      <c r="AA26" s="146"/>
      <c r="AB26" s="146"/>
      <c r="AC26" s="31"/>
      <c r="AD26" s="144" t="s">
        <v>83</v>
      </c>
      <c r="AE26" s="145" t="s">
        <v>110</v>
      </c>
      <c r="AF26" s="146"/>
      <c r="AG26" s="146"/>
      <c r="AH26" s="146"/>
      <c r="AI26" s="146"/>
      <c r="AK26" s="144" t="s">
        <v>83</v>
      </c>
      <c r="AL26" s="145" t="s">
        <v>111</v>
      </c>
      <c r="AM26" s="146"/>
      <c r="AN26" s="146"/>
      <c r="AO26" s="146"/>
      <c r="AP26" s="146"/>
      <c r="AR26" s="144" t="s">
        <v>83</v>
      </c>
      <c r="AS26" s="145" t="s">
        <v>112</v>
      </c>
      <c r="AT26" s="146"/>
      <c r="AU26" s="146"/>
      <c r="AV26" s="146"/>
      <c r="AW26" s="146"/>
      <c r="AY26" s="144" t="s">
        <v>83</v>
      </c>
      <c r="AZ26" s="145" t="s">
        <v>114</v>
      </c>
      <c r="BA26" s="146"/>
      <c r="BB26" s="146"/>
      <c r="BC26" s="146"/>
      <c r="BD26" s="146"/>
      <c r="BE26" s="32"/>
      <c r="BF26" s="144" t="s">
        <v>83</v>
      </c>
      <c r="BG26" s="145" t="s">
        <v>113</v>
      </c>
      <c r="BH26" s="146"/>
      <c r="BI26" s="146"/>
      <c r="BJ26" s="146"/>
      <c r="BK26" s="146"/>
      <c r="BM26" s="144" t="s">
        <v>83</v>
      </c>
      <c r="BN26" s="145" t="s">
        <v>116</v>
      </c>
      <c r="BO26" s="146"/>
      <c r="BP26" s="146"/>
      <c r="BQ26" s="146"/>
      <c r="BR26" s="146"/>
      <c r="BT26" s="144" t="s">
        <v>83</v>
      </c>
      <c r="BU26" s="145" t="s">
        <v>115</v>
      </c>
      <c r="BV26" s="146"/>
      <c r="BW26" s="146"/>
      <c r="BX26" s="146"/>
      <c r="BY26" s="146"/>
    </row>
    <row r="27" spans="2:77" s="30" customFormat="1" ht="12.75" customHeight="1">
      <c r="B27" s="144" t="s">
        <v>83</v>
      </c>
      <c r="C27" s="142" t="s">
        <v>99</v>
      </c>
      <c r="D27" s="143"/>
      <c r="E27" s="143"/>
      <c r="F27" s="143"/>
      <c r="G27" s="143"/>
      <c r="H27" s="29"/>
      <c r="I27" s="144" t="s">
        <v>83</v>
      </c>
      <c r="J27" s="142" t="s">
        <v>99</v>
      </c>
      <c r="K27" s="143"/>
      <c r="L27" s="143"/>
      <c r="M27" s="143"/>
      <c r="N27" s="143"/>
      <c r="P27" s="144" t="s">
        <v>83</v>
      </c>
      <c r="Q27" s="142" t="s">
        <v>99</v>
      </c>
      <c r="R27" s="143"/>
      <c r="S27" s="143"/>
      <c r="T27" s="143"/>
      <c r="U27" s="143"/>
      <c r="W27" s="144" t="s">
        <v>83</v>
      </c>
      <c r="X27" s="142" t="s">
        <v>99</v>
      </c>
      <c r="Y27" s="143"/>
      <c r="Z27" s="143"/>
      <c r="AA27" s="143"/>
      <c r="AB27" s="143"/>
      <c r="AC27" s="31"/>
      <c r="AD27" s="144" t="s">
        <v>83</v>
      </c>
      <c r="AE27" s="142" t="s">
        <v>99</v>
      </c>
      <c r="AF27" s="143"/>
      <c r="AG27" s="143"/>
      <c r="AH27" s="143"/>
      <c r="AI27" s="143"/>
      <c r="AK27" s="144" t="s">
        <v>83</v>
      </c>
      <c r="AL27" s="142" t="s">
        <v>99</v>
      </c>
      <c r="AM27" s="143"/>
      <c r="AN27" s="143"/>
      <c r="AO27" s="143"/>
      <c r="AP27" s="143"/>
      <c r="AR27" s="144" t="s">
        <v>83</v>
      </c>
      <c r="AS27" s="142" t="s">
        <v>99</v>
      </c>
      <c r="AT27" s="143"/>
      <c r="AU27" s="143"/>
      <c r="AV27" s="143"/>
      <c r="AW27" s="143"/>
      <c r="AY27" s="144" t="s">
        <v>83</v>
      </c>
      <c r="AZ27" s="142" t="s">
        <v>99</v>
      </c>
      <c r="BA27" s="143"/>
      <c r="BB27" s="143"/>
      <c r="BC27" s="143"/>
      <c r="BD27" s="143"/>
      <c r="BE27" s="32"/>
      <c r="BF27" s="144" t="s">
        <v>83</v>
      </c>
      <c r="BG27" s="142" t="s">
        <v>99</v>
      </c>
      <c r="BH27" s="143"/>
      <c r="BI27" s="143"/>
      <c r="BJ27" s="143"/>
      <c r="BK27" s="143"/>
      <c r="BM27" s="144" t="s">
        <v>83</v>
      </c>
      <c r="BN27" s="142" t="s">
        <v>99</v>
      </c>
      <c r="BO27" s="143"/>
      <c r="BP27" s="143"/>
      <c r="BQ27" s="143"/>
      <c r="BR27" s="143"/>
      <c r="BT27" s="144" t="s">
        <v>83</v>
      </c>
      <c r="BU27" s="142" t="s">
        <v>99</v>
      </c>
      <c r="BV27" s="143"/>
      <c r="BW27" s="143"/>
      <c r="BX27" s="143"/>
      <c r="BY27" s="143"/>
    </row>
    <row r="28" spans="2:77" s="30" customFormat="1" ht="12.75">
      <c r="B28" s="144"/>
      <c r="C28" s="18">
        <v>1</v>
      </c>
      <c r="D28" s="18">
        <v>2</v>
      </c>
      <c r="E28" s="18">
        <v>3</v>
      </c>
      <c r="F28" s="18">
        <v>4</v>
      </c>
      <c r="G28" s="18">
        <v>5</v>
      </c>
      <c r="H28" s="29"/>
      <c r="I28" s="144"/>
      <c r="J28" s="18">
        <v>1</v>
      </c>
      <c r="K28" s="18">
        <v>2</v>
      </c>
      <c r="L28" s="18">
        <v>3</v>
      </c>
      <c r="M28" s="18">
        <v>4</v>
      </c>
      <c r="N28" s="18">
        <v>5</v>
      </c>
      <c r="P28" s="144"/>
      <c r="Q28" s="18">
        <v>1</v>
      </c>
      <c r="R28" s="18">
        <v>2</v>
      </c>
      <c r="S28" s="18">
        <v>3</v>
      </c>
      <c r="T28" s="18">
        <v>4</v>
      </c>
      <c r="U28" s="18">
        <v>5</v>
      </c>
      <c r="W28" s="144"/>
      <c r="X28" s="18">
        <v>1</v>
      </c>
      <c r="Y28" s="18">
        <v>2</v>
      </c>
      <c r="Z28" s="18">
        <v>3</v>
      </c>
      <c r="AA28" s="18">
        <v>4</v>
      </c>
      <c r="AB28" s="18">
        <v>5</v>
      </c>
      <c r="AC28" s="31"/>
      <c r="AD28" s="144"/>
      <c r="AE28" s="18">
        <v>1</v>
      </c>
      <c r="AF28" s="18">
        <v>2</v>
      </c>
      <c r="AG28" s="18">
        <v>3</v>
      </c>
      <c r="AH28" s="18">
        <v>4</v>
      </c>
      <c r="AI28" s="18">
        <v>5</v>
      </c>
      <c r="AK28" s="144"/>
      <c r="AL28" s="18">
        <v>1</v>
      </c>
      <c r="AM28" s="18">
        <v>2</v>
      </c>
      <c r="AN28" s="18">
        <v>3</v>
      </c>
      <c r="AO28" s="18">
        <v>4</v>
      </c>
      <c r="AP28" s="18">
        <v>5</v>
      </c>
      <c r="AR28" s="144"/>
      <c r="AS28" s="18">
        <v>1</v>
      </c>
      <c r="AT28" s="18">
        <v>2</v>
      </c>
      <c r="AU28" s="18">
        <v>3</v>
      </c>
      <c r="AV28" s="18">
        <v>4</v>
      </c>
      <c r="AW28" s="18">
        <v>5</v>
      </c>
      <c r="AY28" s="144"/>
      <c r="AZ28" s="18">
        <v>1</v>
      </c>
      <c r="BA28" s="18">
        <v>2</v>
      </c>
      <c r="BB28" s="18">
        <v>3</v>
      </c>
      <c r="BC28" s="18">
        <v>4</v>
      </c>
      <c r="BD28" s="18">
        <v>5</v>
      </c>
      <c r="BE28" s="32"/>
      <c r="BF28" s="144"/>
      <c r="BG28" s="18">
        <v>1</v>
      </c>
      <c r="BH28" s="18">
        <v>2</v>
      </c>
      <c r="BI28" s="18">
        <v>3</v>
      </c>
      <c r="BJ28" s="18">
        <v>4</v>
      </c>
      <c r="BK28" s="18">
        <v>5</v>
      </c>
      <c r="BM28" s="144"/>
      <c r="BN28" s="18">
        <v>1</v>
      </c>
      <c r="BO28" s="18">
        <v>2</v>
      </c>
      <c r="BP28" s="18">
        <v>3</v>
      </c>
      <c r="BQ28" s="18">
        <v>4</v>
      </c>
      <c r="BR28" s="18">
        <v>5</v>
      </c>
      <c r="BT28" s="144"/>
      <c r="BU28" s="18">
        <v>1</v>
      </c>
      <c r="BV28" s="18">
        <v>2</v>
      </c>
      <c r="BW28" s="18">
        <v>3</v>
      </c>
      <c r="BX28" s="18">
        <v>4</v>
      </c>
      <c r="BY28" s="18">
        <v>5</v>
      </c>
    </row>
    <row r="29" spans="2:77" s="34" customFormat="1" ht="14.25" customHeight="1" thickBot="1">
      <c r="B29" s="24" t="s">
        <v>127</v>
      </c>
      <c r="C29" s="25">
        <v>56184.832763430815</v>
      </c>
      <c r="D29" s="26">
        <v>65207.794984124019</v>
      </c>
      <c r="E29" s="26">
        <v>69434.721462570917</v>
      </c>
      <c r="F29" s="26">
        <v>85624.861130244622</v>
      </c>
      <c r="G29" s="122">
        <v>111718.91544316529</v>
      </c>
      <c r="H29" s="33"/>
      <c r="I29" s="24" t="s">
        <v>127</v>
      </c>
      <c r="J29" s="25">
        <v>36061.255480667198</v>
      </c>
      <c r="K29" s="26">
        <v>51607.505122080533</v>
      </c>
      <c r="L29" s="26">
        <v>60641.685167947544</v>
      </c>
      <c r="M29" s="26">
        <v>91043.146383909174</v>
      </c>
      <c r="N29" s="122">
        <v>139483.08087888447</v>
      </c>
      <c r="P29" s="24" t="s">
        <v>127</v>
      </c>
      <c r="Q29" s="25">
        <v>98072.699758796822</v>
      </c>
      <c r="R29" s="26">
        <v>171258.23275114113</v>
      </c>
      <c r="S29" s="26">
        <v>245137.65048960608</v>
      </c>
      <c r="T29" s="26">
        <v>467142.88233524468</v>
      </c>
      <c r="U29" s="122">
        <v>231246.80984704246</v>
      </c>
      <c r="W29" s="24" t="s">
        <v>127</v>
      </c>
      <c r="X29" s="25">
        <v>27855.775995982276</v>
      </c>
      <c r="Y29" s="26">
        <v>34408.993690270167</v>
      </c>
      <c r="Z29" s="26">
        <v>35063.669125187509</v>
      </c>
      <c r="AA29" s="26">
        <v>38688.103018775</v>
      </c>
      <c r="AB29" s="122">
        <v>45094.61109678413</v>
      </c>
      <c r="AC29" s="35"/>
      <c r="AD29" s="24" t="s">
        <v>127</v>
      </c>
      <c r="AE29" s="25">
        <v>76652.144966787018</v>
      </c>
      <c r="AF29" s="26">
        <v>78859.212984957077</v>
      </c>
      <c r="AG29" s="26">
        <v>78893.983417360912</v>
      </c>
      <c r="AH29" s="26">
        <v>79791.046047100739</v>
      </c>
      <c r="AI29" s="122">
        <v>81823.732102197653</v>
      </c>
      <c r="AJ29" s="35"/>
      <c r="AK29" s="24" t="s">
        <v>127</v>
      </c>
      <c r="AL29" s="25">
        <v>477552.46894110076</v>
      </c>
      <c r="AM29" s="26">
        <v>492046.06300905318</v>
      </c>
      <c r="AN29" s="26">
        <v>492876.64341318264</v>
      </c>
      <c r="AO29" s="26">
        <v>491797.40369432006</v>
      </c>
      <c r="AP29" s="122">
        <v>531362.7489213841</v>
      </c>
      <c r="AQ29" s="35"/>
      <c r="AR29" s="24" t="s">
        <v>127</v>
      </c>
      <c r="AS29" s="25">
        <v>47774.452113648338</v>
      </c>
      <c r="AT29" s="26">
        <v>51163.583334417992</v>
      </c>
      <c r="AU29" s="26">
        <v>51184.672002532767</v>
      </c>
      <c r="AV29" s="26">
        <v>51301.752716754985</v>
      </c>
      <c r="AW29" s="122">
        <v>51482.993378603394</v>
      </c>
      <c r="AX29" s="35"/>
      <c r="AY29" s="24" t="s">
        <v>127</v>
      </c>
      <c r="AZ29" s="25">
        <v>933741.26129943505</v>
      </c>
      <c r="BA29" s="26">
        <v>937810.46351522848</v>
      </c>
      <c r="BB29" s="26">
        <v>932304.83243755926</v>
      </c>
      <c r="BC29" s="26">
        <v>937675.2439949431</v>
      </c>
      <c r="BD29" s="122">
        <v>955524.95262160455</v>
      </c>
      <c r="BE29" s="36"/>
      <c r="BF29" s="24" t="s">
        <v>127</v>
      </c>
      <c r="BG29" s="25">
        <v>126219.28948631781</v>
      </c>
      <c r="BH29" s="26">
        <v>143939.75927189988</v>
      </c>
      <c r="BI29" s="26">
        <v>142256.47558482853</v>
      </c>
      <c r="BJ29" s="26">
        <v>143277.26639437259</v>
      </c>
      <c r="BK29" s="122">
        <v>142930.71363739506</v>
      </c>
      <c r="BL29" s="35"/>
      <c r="BM29" s="24" t="s">
        <v>127</v>
      </c>
      <c r="BN29" s="25">
        <v>646078.99754698155</v>
      </c>
      <c r="BO29" s="26">
        <v>598014.1890902298</v>
      </c>
      <c r="BP29" s="26">
        <v>605821.22428443644</v>
      </c>
      <c r="BQ29" s="26">
        <v>621471.37102894124</v>
      </c>
      <c r="BR29" s="122">
        <v>639136.47732847696</v>
      </c>
      <c r="BS29" s="35"/>
      <c r="BT29" s="24" t="s">
        <v>127</v>
      </c>
      <c r="BU29" s="25">
        <v>51834.479092017697</v>
      </c>
      <c r="BV29" s="26">
        <v>53780.668654137502</v>
      </c>
      <c r="BW29" s="26">
        <v>53478.67802065688</v>
      </c>
      <c r="BX29" s="26">
        <v>53894.235688573572</v>
      </c>
      <c r="BY29" s="122">
        <v>54283.722438487188</v>
      </c>
    </row>
    <row r="30" spans="2:77" s="20" customFormat="1" ht="14.25" customHeight="1" thickBot="1">
      <c r="B30" s="24" t="s">
        <v>133</v>
      </c>
      <c r="C30" s="27">
        <v>97258.832410506264</v>
      </c>
      <c r="D30" s="28">
        <v>106722.37048995899</v>
      </c>
      <c r="E30" s="28">
        <v>127387.28179746431</v>
      </c>
      <c r="F30" s="123">
        <v>156906.11724209649</v>
      </c>
      <c r="G30" s="19"/>
      <c r="H30" s="19"/>
      <c r="I30" s="24" t="s">
        <v>133</v>
      </c>
      <c r="J30" s="27">
        <v>58906.468543302988</v>
      </c>
      <c r="K30" s="28">
        <v>81991.6124101694</v>
      </c>
      <c r="L30" s="28">
        <v>121546.48467151099</v>
      </c>
      <c r="M30" s="123">
        <v>175252.82833521723</v>
      </c>
      <c r="N30" s="19"/>
      <c r="P30" s="24" t="s">
        <v>133</v>
      </c>
      <c r="Q30" s="27">
        <v>150987.15122019715</v>
      </c>
      <c r="R30" s="28">
        <v>281482.2212940107</v>
      </c>
      <c r="S30" s="28">
        <v>575114.27208808262</v>
      </c>
      <c r="T30" s="123">
        <v>991616.93424440851</v>
      </c>
      <c r="U30" s="19">
        <v>401190.18625284586</v>
      </c>
      <c r="W30" s="24" t="s">
        <v>133</v>
      </c>
      <c r="X30" s="27">
        <v>47163.554689106015</v>
      </c>
      <c r="Y30" s="28">
        <v>54647.017694385671</v>
      </c>
      <c r="Z30" s="28">
        <v>61327.652430107097</v>
      </c>
      <c r="AA30" s="123">
        <v>66407.799343971725</v>
      </c>
      <c r="AB30" s="19"/>
      <c r="AC30" s="21"/>
      <c r="AD30" s="24" t="s">
        <v>133</v>
      </c>
      <c r="AE30" s="27">
        <v>137035.84318058431</v>
      </c>
      <c r="AF30" s="28">
        <v>131991.82431156826</v>
      </c>
      <c r="AG30" s="28">
        <v>133822.81617567985</v>
      </c>
      <c r="AH30" s="123">
        <v>136668.53731690673</v>
      </c>
      <c r="AI30" s="19">
        <v>401190.18625284586</v>
      </c>
      <c r="AJ30" s="21"/>
      <c r="AK30" s="24" t="s">
        <v>133</v>
      </c>
      <c r="AL30" s="27">
        <v>950543.72124422283</v>
      </c>
      <c r="AM30" s="28">
        <v>892316.73599960958</v>
      </c>
      <c r="AN30" s="28">
        <v>902318.04863199766</v>
      </c>
      <c r="AO30" s="123">
        <v>929422.6287730491</v>
      </c>
      <c r="AP30" s="19"/>
      <c r="AQ30" s="21"/>
      <c r="AR30" s="24" t="s">
        <v>133</v>
      </c>
      <c r="AS30" s="27">
        <v>100189.25771274405</v>
      </c>
      <c r="AT30" s="28">
        <v>100065.79707897034</v>
      </c>
      <c r="AU30" s="28">
        <v>100038.22602479819</v>
      </c>
      <c r="AV30" s="123">
        <v>100310.9719795295</v>
      </c>
      <c r="AW30" s="19"/>
      <c r="AX30" s="21"/>
      <c r="AY30" s="24" t="s">
        <v>133</v>
      </c>
      <c r="AZ30" s="27">
        <v>1503697.1479357798</v>
      </c>
      <c r="BA30" s="28">
        <v>1379752.4893725992</v>
      </c>
      <c r="BB30" s="28">
        <v>1383967.1691796575</v>
      </c>
      <c r="BC30" s="123">
        <v>1406718.3677221655</v>
      </c>
      <c r="BD30" s="19">
        <v>401190.18625284586</v>
      </c>
      <c r="BE30" s="22"/>
      <c r="BF30" s="24" t="s">
        <v>133</v>
      </c>
      <c r="BG30" s="27">
        <v>213675.0357290376</v>
      </c>
      <c r="BH30" s="28">
        <v>228648.14850322832</v>
      </c>
      <c r="BI30" s="28">
        <v>237034.70413739266</v>
      </c>
      <c r="BJ30" s="123">
        <v>244853.15815132606</v>
      </c>
      <c r="BK30" s="19"/>
      <c r="BL30" s="21"/>
      <c r="BM30" s="24" t="s">
        <v>133</v>
      </c>
      <c r="BN30" s="27">
        <v>1134687.0712588232</v>
      </c>
      <c r="BO30" s="28">
        <v>1048401.9826614518</v>
      </c>
      <c r="BP30" s="28">
        <v>1080712.2076009938</v>
      </c>
      <c r="BQ30" s="123">
        <v>1133124.4336633056</v>
      </c>
      <c r="BR30" s="19"/>
      <c r="BS30" s="21"/>
      <c r="BT30" s="24" t="s">
        <v>133</v>
      </c>
      <c r="BU30" s="27">
        <v>90257.161835348103</v>
      </c>
      <c r="BV30" s="28">
        <v>86618.517328336442</v>
      </c>
      <c r="BW30" s="28">
        <v>87606.167698352219</v>
      </c>
      <c r="BX30" s="123">
        <v>88790.300452574418</v>
      </c>
      <c r="BY30" s="19"/>
    </row>
    <row r="31" spans="2:77" s="20" customFormat="1" ht="14.25" customHeight="1" thickBot="1">
      <c r="B31" s="24" t="s">
        <v>140</v>
      </c>
      <c r="C31" s="25">
        <v>163552.62694441475</v>
      </c>
      <c r="D31" s="26">
        <v>190378.55861469827</v>
      </c>
      <c r="E31" s="122">
        <v>223870.42191271295</v>
      </c>
      <c r="F31" s="19"/>
      <c r="G31" s="19"/>
      <c r="H31" s="19"/>
      <c r="I31" s="24" t="s">
        <v>140</v>
      </c>
      <c r="J31" s="25">
        <v>96213.116199577198</v>
      </c>
      <c r="K31" s="26">
        <v>161843.52451911866</v>
      </c>
      <c r="L31" s="122">
        <v>223162.64614303806</v>
      </c>
      <c r="M31" s="19"/>
      <c r="N31" s="19"/>
      <c r="P31" s="24" t="s">
        <v>140</v>
      </c>
      <c r="Q31" s="25">
        <v>263147.17018268933</v>
      </c>
      <c r="R31" s="26">
        <v>688179.91427893366</v>
      </c>
      <c r="S31" s="122">
        <v>1188873.8480817347</v>
      </c>
      <c r="T31" s="19"/>
      <c r="U31" s="19"/>
      <c r="W31" s="24" t="s">
        <v>140</v>
      </c>
      <c r="X31" s="25">
        <v>76120.255273095667</v>
      </c>
      <c r="Y31" s="26">
        <v>95136.348930340129</v>
      </c>
      <c r="Z31" s="122">
        <v>104831.8648920249</v>
      </c>
      <c r="AA31" s="19"/>
      <c r="AB31" s="19"/>
      <c r="AC31" s="21"/>
      <c r="AD31" s="24" t="s">
        <v>140</v>
      </c>
      <c r="AE31" s="25">
        <v>232758.36395766874</v>
      </c>
      <c r="AF31" s="26">
        <v>219081.62779298154</v>
      </c>
      <c r="AG31" s="122">
        <v>224636.33353693713</v>
      </c>
      <c r="AH31" s="19"/>
      <c r="AI31" s="19"/>
      <c r="AJ31" s="21"/>
      <c r="AK31" s="24" t="s">
        <v>140</v>
      </c>
      <c r="AL31" s="25">
        <v>1643320.2279967759</v>
      </c>
      <c r="AM31" s="26">
        <v>1447229.3433692276</v>
      </c>
      <c r="AN31" s="122">
        <v>1474190.4292229179</v>
      </c>
      <c r="AO31" s="19"/>
      <c r="AP31" s="19"/>
      <c r="AQ31" s="21"/>
      <c r="AR31" s="24" t="s">
        <v>140</v>
      </c>
      <c r="AS31" s="25">
        <v>140918.92783847247</v>
      </c>
      <c r="AT31" s="26">
        <v>134994.49774228715</v>
      </c>
      <c r="AU31" s="122">
        <v>134690.80395725014</v>
      </c>
      <c r="AV31" s="19"/>
      <c r="AW31" s="19"/>
      <c r="AX31" s="21"/>
      <c r="AY31" s="24" t="s">
        <v>140</v>
      </c>
      <c r="AZ31" s="25">
        <v>2741812.7264637002</v>
      </c>
      <c r="BA31" s="26">
        <v>2333943.0470563411</v>
      </c>
      <c r="BB31" s="122">
        <v>2354563.6506632976</v>
      </c>
      <c r="BC31" s="19"/>
      <c r="BD31" s="19"/>
      <c r="BE31" s="22"/>
      <c r="BF31" s="24" t="s">
        <v>140</v>
      </c>
      <c r="BG31" s="25">
        <v>430165.03469347529</v>
      </c>
      <c r="BH31" s="26">
        <v>358126.78262476897</v>
      </c>
      <c r="BI31" s="122">
        <v>374072.44520295202</v>
      </c>
      <c r="BJ31" s="19"/>
      <c r="BK31" s="19"/>
      <c r="BL31" s="21"/>
      <c r="BM31" s="24" t="s">
        <v>140</v>
      </c>
      <c r="BN31" s="25">
        <v>2135375.5945724808</v>
      </c>
      <c r="BO31" s="26">
        <v>1990758.4652675577</v>
      </c>
      <c r="BP31" s="122">
        <v>2096780.7888214979</v>
      </c>
      <c r="BQ31" s="19"/>
      <c r="BR31" s="19"/>
      <c r="BS31" s="21"/>
      <c r="BT31" s="24" t="s">
        <v>140</v>
      </c>
      <c r="BU31" s="25">
        <v>144821.42063282747</v>
      </c>
      <c r="BV31" s="26">
        <v>139832.26405641824</v>
      </c>
      <c r="BW31" s="122">
        <v>142762.97462588348</v>
      </c>
      <c r="BX31" s="19"/>
      <c r="BY31" s="19"/>
    </row>
    <row r="32" spans="2:77" s="20" customFormat="1" ht="14.25" customHeight="1" thickBot="1">
      <c r="B32" s="24" t="s">
        <v>141</v>
      </c>
      <c r="C32" s="27">
        <v>520524.77544783865</v>
      </c>
      <c r="D32" s="123">
        <v>604745.91721288895</v>
      </c>
      <c r="E32" s="19"/>
      <c r="F32" s="19"/>
      <c r="G32" s="19"/>
      <c r="H32" s="19"/>
      <c r="I32" s="24" t="s">
        <v>141</v>
      </c>
      <c r="J32" s="27">
        <v>293149.04712099768</v>
      </c>
      <c r="K32" s="123">
        <v>442947.78204528178</v>
      </c>
      <c r="L32" s="19"/>
      <c r="M32" s="19"/>
      <c r="N32" s="19"/>
      <c r="P32" s="24" t="s">
        <v>141</v>
      </c>
      <c r="Q32" s="27">
        <v>669882.13377604668</v>
      </c>
      <c r="R32" s="123">
        <v>1483947.4138216323</v>
      </c>
      <c r="S32" s="19"/>
      <c r="T32" s="19"/>
      <c r="U32" s="19"/>
      <c r="W32" s="24" t="s">
        <v>141</v>
      </c>
      <c r="X32" s="27">
        <v>244232.14373368066</v>
      </c>
      <c r="Y32" s="123">
        <v>298152.43474792474</v>
      </c>
      <c r="Z32" s="19"/>
      <c r="AA32" s="19"/>
      <c r="AB32" s="19"/>
      <c r="AC32" s="21"/>
      <c r="AD32" s="24" t="s">
        <v>141</v>
      </c>
      <c r="AE32" s="27">
        <v>740702.21696557803</v>
      </c>
      <c r="AF32" s="123">
        <v>758691.81451414071</v>
      </c>
      <c r="AG32" s="19"/>
      <c r="AH32" s="19"/>
      <c r="AI32" s="19"/>
      <c r="AJ32" s="21"/>
      <c r="AK32" s="24" t="s">
        <v>141</v>
      </c>
      <c r="AL32" s="27">
        <v>4272042.7004446713</v>
      </c>
      <c r="AM32" s="123">
        <v>4287474.1179073593</v>
      </c>
      <c r="AN32" s="19"/>
      <c r="AO32" s="19"/>
      <c r="AP32" s="19"/>
      <c r="AQ32" s="21"/>
      <c r="AR32" s="24" t="s">
        <v>141</v>
      </c>
      <c r="AS32" s="27">
        <v>358435.10313702718</v>
      </c>
      <c r="AT32" s="123">
        <v>354917.32193468651</v>
      </c>
      <c r="AU32" s="19"/>
      <c r="AV32" s="19"/>
      <c r="AW32" s="19"/>
      <c r="AX32" s="21"/>
      <c r="AY32" s="24" t="s">
        <v>141</v>
      </c>
      <c r="AZ32" s="27">
        <v>6453452.8032679735</v>
      </c>
      <c r="BA32" s="123">
        <v>6828292.9135103477</v>
      </c>
      <c r="BB32" s="19"/>
      <c r="BC32" s="19"/>
      <c r="BD32" s="19"/>
      <c r="BE32" s="22"/>
      <c r="BF32" s="24" t="s">
        <v>141</v>
      </c>
      <c r="BG32" s="27">
        <v>1489785.8912440571</v>
      </c>
      <c r="BH32" s="123">
        <v>1280550.3322802454</v>
      </c>
      <c r="BI32" s="19"/>
      <c r="BJ32" s="19"/>
      <c r="BK32" s="19"/>
      <c r="BL32" s="21"/>
      <c r="BM32" s="24" t="s">
        <v>141</v>
      </c>
      <c r="BN32" s="27">
        <v>5753162.833589647</v>
      </c>
      <c r="BO32" s="123">
        <v>5691006.6871192008</v>
      </c>
      <c r="BP32" s="19"/>
      <c r="BQ32" s="19"/>
      <c r="BR32" s="19"/>
      <c r="BS32" s="21"/>
      <c r="BT32" s="24" t="s">
        <v>141</v>
      </c>
      <c r="BU32" s="27">
        <v>514641.56311805797</v>
      </c>
      <c r="BV32" s="123">
        <v>530440.05238337489</v>
      </c>
      <c r="BW32" s="19"/>
      <c r="BX32" s="19"/>
      <c r="BY32" s="19"/>
    </row>
    <row r="33" spans="2:77" s="20" customFormat="1" ht="14.25" customHeight="1" thickBot="1">
      <c r="B33" s="121" t="s">
        <v>150</v>
      </c>
      <c r="C33" s="122">
        <v>1117442.0576510448</v>
      </c>
      <c r="D33" s="19"/>
      <c r="E33" s="19"/>
      <c r="F33" s="19"/>
      <c r="G33" s="19"/>
      <c r="H33" s="19"/>
      <c r="I33" s="121" t="s">
        <v>150</v>
      </c>
      <c r="J33" s="122">
        <v>671735.11462650087</v>
      </c>
      <c r="K33" s="19"/>
      <c r="L33" s="19"/>
      <c r="M33" s="19"/>
      <c r="N33" s="19"/>
      <c r="P33" s="121" t="s">
        <v>150</v>
      </c>
      <c r="Q33" s="122">
        <v>1484802.4044107953</v>
      </c>
      <c r="R33" s="19"/>
      <c r="S33" s="19"/>
      <c r="T33" s="19"/>
      <c r="U33" s="19"/>
      <c r="W33" s="121" t="s">
        <v>150</v>
      </c>
      <c r="X33" s="122">
        <v>559389.52252692415</v>
      </c>
      <c r="Y33" s="19"/>
      <c r="Z33" s="19"/>
      <c r="AA33" s="19"/>
      <c r="AB33" s="19"/>
      <c r="AC33" s="21"/>
      <c r="AD33" s="121" t="s">
        <v>150</v>
      </c>
      <c r="AE33" s="122">
        <v>1579983.8990934312</v>
      </c>
      <c r="AF33" s="19"/>
      <c r="AG33" s="19"/>
      <c r="AH33" s="19"/>
      <c r="AI33" s="19"/>
      <c r="AJ33" s="21"/>
      <c r="AK33" s="121" t="s">
        <v>150</v>
      </c>
      <c r="AL33" s="122">
        <v>9606358.4604795445</v>
      </c>
      <c r="AM33" s="19"/>
      <c r="AN33" s="19"/>
      <c r="AO33" s="19"/>
      <c r="AP33" s="19"/>
      <c r="AQ33" s="21"/>
      <c r="AR33" s="121" t="s">
        <v>150</v>
      </c>
      <c r="AS33" s="122">
        <v>535884.39182786783</v>
      </c>
      <c r="AT33" s="19"/>
      <c r="AU33" s="19"/>
      <c r="AV33" s="19"/>
      <c r="AW33" s="19"/>
      <c r="AX33" s="21"/>
      <c r="AY33" s="121" t="s">
        <v>150</v>
      </c>
      <c r="AZ33" s="122">
        <v>13545552.334420601</v>
      </c>
      <c r="BA33" s="19"/>
      <c r="BB33" s="19"/>
      <c r="BC33" s="19"/>
      <c r="BD33" s="19"/>
      <c r="BE33" s="22"/>
      <c r="BF33" s="121" t="s">
        <v>150</v>
      </c>
      <c r="BG33" s="122">
        <v>2163111.6209581853</v>
      </c>
      <c r="BH33" s="19"/>
      <c r="BI33" s="19"/>
      <c r="BJ33" s="19"/>
      <c r="BK33" s="19"/>
      <c r="BL33" s="21"/>
      <c r="BM33" s="121" t="s">
        <v>150</v>
      </c>
      <c r="BN33" s="122">
        <v>12186393.65457294</v>
      </c>
      <c r="BO33" s="19"/>
      <c r="BP33" s="19"/>
      <c r="BQ33" s="19"/>
      <c r="BR33" s="19"/>
      <c r="BS33" s="21"/>
      <c r="BT33" s="121" t="s">
        <v>150</v>
      </c>
      <c r="BU33" s="122">
        <v>1042996.2497850866</v>
      </c>
      <c r="BV33" s="19"/>
      <c r="BW33" s="19"/>
      <c r="BX33" s="19"/>
      <c r="BY33" s="19"/>
    </row>
    <row r="34" spans="2:77" s="20" customFormat="1" ht="12.75">
      <c r="B34" s="23"/>
      <c r="H34" s="19"/>
      <c r="I34" s="23"/>
      <c r="P34" s="23"/>
      <c r="W34" s="23"/>
      <c r="AC34" s="21"/>
      <c r="AD34" s="23"/>
      <c r="AK34" s="23"/>
      <c r="AR34" s="23"/>
      <c r="AY34" s="23"/>
      <c r="BE34" s="22"/>
      <c r="BF34" s="23"/>
      <c r="BM34" s="23"/>
      <c r="BT34" s="23"/>
    </row>
    <row r="35" spans="2:77" s="20" customFormat="1" ht="12.75">
      <c r="B35" s="23"/>
      <c r="C35" s="21"/>
      <c r="D35" s="21"/>
      <c r="E35" s="21"/>
      <c r="F35" s="21"/>
      <c r="G35" s="21"/>
      <c r="H35" s="19"/>
      <c r="I35" s="23"/>
      <c r="J35" s="21"/>
      <c r="K35" s="21"/>
      <c r="L35" s="21"/>
      <c r="M35" s="21"/>
      <c r="N35" s="21"/>
      <c r="P35" s="23"/>
      <c r="Q35" s="21"/>
      <c r="R35" s="21"/>
      <c r="S35" s="21"/>
      <c r="T35" s="21"/>
      <c r="U35" s="21"/>
      <c r="W35" s="23"/>
      <c r="X35" s="21"/>
      <c r="Y35" s="21"/>
      <c r="Z35" s="21"/>
      <c r="AA35" s="21"/>
      <c r="AB35" s="21"/>
      <c r="AC35" s="21"/>
      <c r="AD35" s="23"/>
      <c r="AE35" s="21"/>
      <c r="AF35" s="21"/>
      <c r="AG35" s="21"/>
      <c r="AH35" s="21"/>
      <c r="AI35" s="21"/>
      <c r="AJ35" s="21"/>
      <c r="AK35" s="23"/>
      <c r="AL35" s="21"/>
      <c r="AM35" s="21"/>
      <c r="AN35" s="21"/>
      <c r="AO35" s="21"/>
      <c r="AP35" s="21"/>
      <c r="AQ35" s="21"/>
      <c r="AR35" s="23"/>
      <c r="AS35" s="21"/>
      <c r="AT35" s="21"/>
      <c r="AU35" s="21"/>
      <c r="AV35" s="21"/>
      <c r="AW35" s="21"/>
      <c r="AX35" s="21"/>
      <c r="AY35" s="23"/>
      <c r="AZ35" s="21"/>
      <c r="BA35" s="21"/>
      <c r="BB35" s="21"/>
      <c r="BC35" s="21"/>
      <c r="BD35" s="21"/>
      <c r="BE35" s="22"/>
      <c r="BF35" s="23"/>
      <c r="BG35" s="21"/>
      <c r="BH35" s="21"/>
      <c r="BI35" s="21"/>
      <c r="BJ35" s="21"/>
      <c r="BK35" s="21"/>
      <c r="BL35" s="21"/>
      <c r="BM35" s="23"/>
      <c r="BN35" s="21"/>
      <c r="BO35" s="21"/>
      <c r="BP35" s="21"/>
      <c r="BQ35" s="21"/>
      <c r="BR35" s="21"/>
      <c r="BS35" s="21"/>
      <c r="BT35" s="23"/>
      <c r="BU35" s="21"/>
      <c r="BV35" s="21"/>
      <c r="BW35" s="21"/>
      <c r="BX35" s="21"/>
      <c r="BY35" s="21"/>
    </row>
    <row r="36" spans="2:77" s="20" customFormat="1" ht="12.75">
      <c r="B36" s="23"/>
      <c r="H36" s="19"/>
      <c r="I36" s="23"/>
      <c r="P36" s="23"/>
      <c r="W36" s="23"/>
      <c r="AC36" s="21"/>
      <c r="AD36" s="23"/>
      <c r="AK36" s="23"/>
      <c r="AR36" s="23"/>
      <c r="AY36" s="23"/>
      <c r="BE36" s="22"/>
      <c r="BF36" s="23"/>
      <c r="BM36" s="23"/>
      <c r="BT36" s="23"/>
    </row>
    <row r="38" spans="2:77" s="39" customFormat="1" ht="18">
      <c r="B38" s="17" t="s">
        <v>106</v>
      </c>
      <c r="C38" s="37"/>
      <c r="D38" s="37"/>
      <c r="E38" s="37"/>
      <c r="F38" s="37"/>
      <c r="G38" s="37"/>
      <c r="H38" s="38"/>
      <c r="I38" s="17" t="s">
        <v>106</v>
      </c>
      <c r="J38" s="37"/>
      <c r="K38" s="37"/>
      <c r="L38" s="37"/>
      <c r="M38" s="37"/>
      <c r="N38" s="37"/>
      <c r="P38" s="17" t="s">
        <v>106</v>
      </c>
      <c r="Q38" s="37"/>
      <c r="R38" s="37"/>
      <c r="S38" s="37"/>
      <c r="T38" s="37"/>
      <c r="U38" s="37"/>
      <c r="W38" s="17" t="s">
        <v>106</v>
      </c>
      <c r="X38" s="37"/>
      <c r="Y38" s="37"/>
      <c r="Z38" s="37"/>
      <c r="AA38" s="37"/>
      <c r="AB38" s="37"/>
      <c r="AC38" s="40"/>
      <c r="AD38" s="17" t="s">
        <v>106</v>
      </c>
      <c r="AE38" s="37"/>
      <c r="AF38" s="37"/>
      <c r="AG38" s="37"/>
      <c r="AH38" s="37"/>
      <c r="AI38" s="37"/>
      <c r="AK38" s="17" t="s">
        <v>106</v>
      </c>
      <c r="AL38" s="37"/>
      <c r="AM38" s="37"/>
      <c r="AN38" s="37"/>
      <c r="AO38" s="37"/>
      <c r="AP38" s="37"/>
      <c r="AR38" s="17" t="s">
        <v>106</v>
      </c>
      <c r="AS38" s="37"/>
      <c r="AT38" s="37"/>
      <c r="AU38" s="37"/>
      <c r="AV38" s="37"/>
      <c r="AW38" s="37"/>
      <c r="AY38" s="17" t="s">
        <v>106</v>
      </c>
      <c r="AZ38" s="37"/>
      <c r="BA38" s="37"/>
      <c r="BB38" s="37"/>
      <c r="BC38" s="37"/>
      <c r="BD38" s="37"/>
      <c r="BE38" s="41"/>
      <c r="BF38" s="17" t="s">
        <v>106</v>
      </c>
      <c r="BG38" s="37"/>
      <c r="BH38" s="37"/>
      <c r="BI38" s="37"/>
      <c r="BJ38" s="37"/>
      <c r="BK38" s="37"/>
      <c r="BM38" s="17" t="s">
        <v>106</v>
      </c>
      <c r="BN38" s="37"/>
      <c r="BO38" s="37"/>
      <c r="BP38" s="37"/>
      <c r="BQ38" s="37"/>
      <c r="BR38" s="37"/>
      <c r="BT38" s="17" t="s">
        <v>106</v>
      </c>
      <c r="BU38" s="37"/>
      <c r="BV38" s="37"/>
      <c r="BW38" s="37"/>
      <c r="BX38" s="37"/>
      <c r="BY38" s="37"/>
    </row>
    <row r="39" spans="2:77" s="30" customFormat="1" ht="12.75" customHeight="1">
      <c r="B39" s="144" t="s">
        <v>83</v>
      </c>
      <c r="C39" s="145" t="s">
        <v>105</v>
      </c>
      <c r="D39" s="146"/>
      <c r="E39" s="146"/>
      <c r="F39" s="146"/>
      <c r="G39" s="146"/>
      <c r="H39" s="29"/>
      <c r="I39" s="144" t="s">
        <v>83</v>
      </c>
      <c r="J39" s="145" t="s">
        <v>107</v>
      </c>
      <c r="K39" s="146"/>
      <c r="L39" s="146"/>
      <c r="M39" s="146"/>
      <c r="N39" s="146"/>
      <c r="P39" s="144" t="s">
        <v>83</v>
      </c>
      <c r="Q39" s="145" t="s">
        <v>108</v>
      </c>
      <c r="R39" s="146"/>
      <c r="S39" s="146"/>
      <c r="T39" s="146"/>
      <c r="U39" s="146"/>
      <c r="W39" s="144" t="s">
        <v>83</v>
      </c>
      <c r="X39" s="145" t="s">
        <v>109</v>
      </c>
      <c r="Y39" s="146"/>
      <c r="Z39" s="146"/>
      <c r="AA39" s="146"/>
      <c r="AB39" s="146"/>
      <c r="AC39" s="31"/>
      <c r="AD39" s="144" t="s">
        <v>83</v>
      </c>
      <c r="AE39" s="145" t="s">
        <v>110</v>
      </c>
      <c r="AF39" s="146"/>
      <c r="AG39" s="146"/>
      <c r="AH39" s="146"/>
      <c r="AI39" s="146"/>
      <c r="AK39" s="144" t="s">
        <v>83</v>
      </c>
      <c r="AL39" s="145" t="s">
        <v>111</v>
      </c>
      <c r="AM39" s="146"/>
      <c r="AN39" s="146"/>
      <c r="AO39" s="146"/>
      <c r="AP39" s="146"/>
      <c r="AR39" s="144" t="s">
        <v>83</v>
      </c>
      <c r="AS39" s="145" t="s">
        <v>112</v>
      </c>
      <c r="AT39" s="146"/>
      <c r="AU39" s="146"/>
      <c r="AV39" s="146"/>
      <c r="AW39" s="146"/>
      <c r="AY39" s="144" t="s">
        <v>83</v>
      </c>
      <c r="AZ39" s="145" t="s">
        <v>114</v>
      </c>
      <c r="BA39" s="146"/>
      <c r="BB39" s="146"/>
      <c r="BC39" s="146"/>
      <c r="BD39" s="146"/>
      <c r="BE39" s="32"/>
      <c r="BF39" s="144" t="s">
        <v>83</v>
      </c>
      <c r="BG39" s="145" t="s">
        <v>113</v>
      </c>
      <c r="BH39" s="146"/>
      <c r="BI39" s="146"/>
      <c r="BJ39" s="146"/>
      <c r="BK39" s="146"/>
      <c r="BM39" s="144" t="s">
        <v>83</v>
      </c>
      <c r="BN39" s="145" t="s">
        <v>116</v>
      </c>
      <c r="BO39" s="146"/>
      <c r="BP39" s="146"/>
      <c r="BQ39" s="146"/>
      <c r="BR39" s="146"/>
      <c r="BT39" s="144" t="s">
        <v>83</v>
      </c>
      <c r="BU39" s="145" t="s">
        <v>115</v>
      </c>
      <c r="BV39" s="146"/>
      <c r="BW39" s="146"/>
      <c r="BX39" s="146"/>
      <c r="BY39" s="146"/>
    </row>
    <row r="40" spans="2:77" s="30" customFormat="1" ht="12.75" customHeight="1">
      <c r="B40" s="144" t="s">
        <v>83</v>
      </c>
      <c r="C40" s="142" t="s">
        <v>99</v>
      </c>
      <c r="D40" s="143"/>
      <c r="E40" s="143"/>
      <c r="F40" s="143"/>
      <c r="G40" s="143"/>
      <c r="H40" s="29"/>
      <c r="I40" s="144" t="s">
        <v>83</v>
      </c>
      <c r="J40" s="142" t="s">
        <v>99</v>
      </c>
      <c r="K40" s="143"/>
      <c r="L40" s="143"/>
      <c r="M40" s="143"/>
      <c r="N40" s="143"/>
      <c r="P40" s="144" t="s">
        <v>83</v>
      </c>
      <c r="Q40" s="142" t="s">
        <v>99</v>
      </c>
      <c r="R40" s="143"/>
      <c r="S40" s="143"/>
      <c r="T40" s="143"/>
      <c r="U40" s="143"/>
      <c r="W40" s="144" t="s">
        <v>83</v>
      </c>
      <c r="X40" s="142" t="s">
        <v>99</v>
      </c>
      <c r="Y40" s="143"/>
      <c r="Z40" s="143"/>
      <c r="AA40" s="143"/>
      <c r="AB40" s="143"/>
      <c r="AC40" s="31"/>
      <c r="AD40" s="144" t="s">
        <v>83</v>
      </c>
      <c r="AE40" s="142" t="s">
        <v>99</v>
      </c>
      <c r="AF40" s="143"/>
      <c r="AG40" s="143"/>
      <c r="AH40" s="143"/>
      <c r="AI40" s="143"/>
      <c r="AK40" s="144" t="s">
        <v>83</v>
      </c>
      <c r="AL40" s="142" t="s">
        <v>99</v>
      </c>
      <c r="AM40" s="143"/>
      <c r="AN40" s="143"/>
      <c r="AO40" s="143"/>
      <c r="AP40" s="143"/>
      <c r="AR40" s="144" t="s">
        <v>83</v>
      </c>
      <c r="AS40" s="142" t="s">
        <v>99</v>
      </c>
      <c r="AT40" s="143"/>
      <c r="AU40" s="143"/>
      <c r="AV40" s="143"/>
      <c r="AW40" s="143"/>
      <c r="AY40" s="144" t="s">
        <v>83</v>
      </c>
      <c r="AZ40" s="142" t="s">
        <v>99</v>
      </c>
      <c r="BA40" s="143"/>
      <c r="BB40" s="143"/>
      <c r="BC40" s="143"/>
      <c r="BD40" s="143"/>
      <c r="BE40" s="32"/>
      <c r="BF40" s="144" t="s">
        <v>83</v>
      </c>
      <c r="BG40" s="142" t="s">
        <v>99</v>
      </c>
      <c r="BH40" s="143"/>
      <c r="BI40" s="143"/>
      <c r="BJ40" s="143"/>
      <c r="BK40" s="143"/>
      <c r="BM40" s="144" t="s">
        <v>83</v>
      </c>
      <c r="BN40" s="142" t="s">
        <v>99</v>
      </c>
      <c r="BO40" s="143"/>
      <c r="BP40" s="143"/>
      <c r="BQ40" s="143"/>
      <c r="BR40" s="143"/>
      <c r="BT40" s="144" t="s">
        <v>83</v>
      </c>
      <c r="BU40" s="142" t="s">
        <v>99</v>
      </c>
      <c r="BV40" s="143"/>
      <c r="BW40" s="143"/>
      <c r="BX40" s="143"/>
      <c r="BY40" s="143"/>
    </row>
    <row r="41" spans="2:77" s="30" customFormat="1" ht="12.75">
      <c r="B41" s="144"/>
      <c r="C41" s="18">
        <v>1</v>
      </c>
      <c r="D41" s="18">
        <v>2</v>
      </c>
      <c r="E41" s="18">
        <v>3</v>
      </c>
      <c r="F41" s="18">
        <v>4</v>
      </c>
      <c r="G41" s="18">
        <v>5</v>
      </c>
      <c r="H41" s="29"/>
      <c r="I41" s="144"/>
      <c r="J41" s="18">
        <v>1</v>
      </c>
      <c r="K41" s="18">
        <v>2</v>
      </c>
      <c r="L41" s="18">
        <v>3</v>
      </c>
      <c r="M41" s="18">
        <v>4</v>
      </c>
      <c r="N41" s="18">
        <v>5</v>
      </c>
      <c r="P41" s="144"/>
      <c r="Q41" s="18">
        <v>1</v>
      </c>
      <c r="R41" s="18">
        <v>2</v>
      </c>
      <c r="S41" s="18">
        <v>3</v>
      </c>
      <c r="T41" s="18">
        <v>4</v>
      </c>
      <c r="U41" s="18">
        <v>5</v>
      </c>
      <c r="W41" s="144"/>
      <c r="X41" s="18">
        <v>1</v>
      </c>
      <c r="Y41" s="18">
        <v>2</v>
      </c>
      <c r="Z41" s="18">
        <v>3</v>
      </c>
      <c r="AA41" s="18">
        <v>4</v>
      </c>
      <c r="AB41" s="18">
        <v>5</v>
      </c>
      <c r="AC41" s="31"/>
      <c r="AD41" s="144"/>
      <c r="AE41" s="18">
        <v>1</v>
      </c>
      <c r="AF41" s="18">
        <v>2</v>
      </c>
      <c r="AG41" s="18">
        <v>3</v>
      </c>
      <c r="AH41" s="18">
        <v>4</v>
      </c>
      <c r="AI41" s="18">
        <v>5</v>
      </c>
      <c r="AK41" s="144"/>
      <c r="AL41" s="18">
        <v>1</v>
      </c>
      <c r="AM41" s="18">
        <v>2</v>
      </c>
      <c r="AN41" s="18">
        <v>3</v>
      </c>
      <c r="AO41" s="18">
        <v>4</v>
      </c>
      <c r="AP41" s="18">
        <v>5</v>
      </c>
      <c r="AR41" s="144"/>
      <c r="AS41" s="18">
        <v>1</v>
      </c>
      <c r="AT41" s="18">
        <v>2</v>
      </c>
      <c r="AU41" s="18">
        <v>3</v>
      </c>
      <c r="AV41" s="18">
        <v>4</v>
      </c>
      <c r="AW41" s="18">
        <v>5</v>
      </c>
      <c r="AY41" s="144"/>
      <c r="AZ41" s="18">
        <v>1</v>
      </c>
      <c r="BA41" s="18">
        <v>2</v>
      </c>
      <c r="BB41" s="18">
        <v>3</v>
      </c>
      <c r="BC41" s="18">
        <v>4</v>
      </c>
      <c r="BD41" s="18">
        <v>5</v>
      </c>
      <c r="BE41" s="32"/>
      <c r="BF41" s="144"/>
      <c r="BG41" s="18">
        <v>1</v>
      </c>
      <c r="BH41" s="18">
        <v>2</v>
      </c>
      <c r="BI41" s="18">
        <v>3</v>
      </c>
      <c r="BJ41" s="18">
        <v>4</v>
      </c>
      <c r="BK41" s="18">
        <v>5</v>
      </c>
      <c r="BM41" s="144"/>
      <c r="BN41" s="18">
        <v>1</v>
      </c>
      <c r="BO41" s="18">
        <v>2</v>
      </c>
      <c r="BP41" s="18">
        <v>3</v>
      </c>
      <c r="BQ41" s="18">
        <v>4</v>
      </c>
      <c r="BR41" s="18">
        <v>5</v>
      </c>
      <c r="BT41" s="144"/>
      <c r="BU41" s="18">
        <v>1</v>
      </c>
      <c r="BV41" s="18">
        <v>2</v>
      </c>
      <c r="BW41" s="18">
        <v>3</v>
      </c>
      <c r="BX41" s="18">
        <v>4</v>
      </c>
      <c r="BY41" s="18">
        <v>5</v>
      </c>
    </row>
    <row r="42" spans="2:77" s="110" customFormat="1" ht="14.25" customHeight="1" thickBot="1">
      <c r="B42" s="108" t="s">
        <v>127</v>
      </c>
      <c r="C42" s="117">
        <v>134406593003</v>
      </c>
      <c r="D42" s="117">
        <v>164744755300</v>
      </c>
      <c r="E42" s="117">
        <v>181933412654</v>
      </c>
      <c r="F42" s="117">
        <v>224626462567</v>
      </c>
      <c r="G42" s="127">
        <v>293259918660</v>
      </c>
      <c r="H42" s="109"/>
      <c r="I42" s="108" t="s">
        <v>127</v>
      </c>
      <c r="J42" s="117">
        <v>43498528811</v>
      </c>
      <c r="K42" s="117">
        <v>65314406875</v>
      </c>
      <c r="L42" s="117">
        <v>82346799690</v>
      </c>
      <c r="M42" s="117">
        <v>123830423648</v>
      </c>
      <c r="N42" s="127">
        <v>189836194110</v>
      </c>
      <c r="P42" s="108" t="s">
        <v>127</v>
      </c>
      <c r="Q42" s="117">
        <v>13824327758</v>
      </c>
      <c r="R42" s="117">
        <v>27239306952</v>
      </c>
      <c r="S42" s="117">
        <v>40530323719</v>
      </c>
      <c r="T42" s="117">
        <v>77639614187</v>
      </c>
      <c r="U42" s="127">
        <v>135978437428</v>
      </c>
      <c r="W42" s="108" t="s">
        <v>127</v>
      </c>
      <c r="X42" s="117">
        <v>29674201053</v>
      </c>
      <c r="Y42" s="117">
        <v>38075099923</v>
      </c>
      <c r="Z42" s="117">
        <v>41816475971</v>
      </c>
      <c r="AA42" s="117">
        <v>46190809461</v>
      </c>
      <c r="AB42" s="127">
        <v>53857756682</v>
      </c>
      <c r="AC42" s="111"/>
      <c r="AD42" s="108" t="s">
        <v>127</v>
      </c>
      <c r="AE42" s="117">
        <v>90908064192</v>
      </c>
      <c r="AF42" s="117">
        <v>99430348425</v>
      </c>
      <c r="AG42" s="117">
        <v>99586612964</v>
      </c>
      <c r="AH42" s="117">
        <v>100796038919</v>
      </c>
      <c r="AI42" s="127">
        <v>103423724550</v>
      </c>
      <c r="AJ42" s="111"/>
      <c r="AK42" s="108" t="s">
        <v>127</v>
      </c>
      <c r="AL42" s="117">
        <v>14837555210</v>
      </c>
      <c r="AM42" s="117">
        <v>16250805323</v>
      </c>
      <c r="AN42" s="117">
        <v>16398498803</v>
      </c>
      <c r="AO42" s="117">
        <v>16693571071</v>
      </c>
      <c r="AP42" s="127">
        <v>18350612534</v>
      </c>
      <c r="AQ42" s="111"/>
      <c r="AR42" s="108" t="s">
        <v>127</v>
      </c>
      <c r="AS42" s="117">
        <v>10519361062</v>
      </c>
      <c r="AT42" s="117">
        <v>11792540832</v>
      </c>
      <c r="AU42" s="117">
        <v>11802059301</v>
      </c>
      <c r="AV42" s="117">
        <v>11830491987</v>
      </c>
      <c r="AW42" s="127">
        <v>11872802001</v>
      </c>
      <c r="AX42" s="111"/>
      <c r="AY42" s="108" t="s">
        <v>127</v>
      </c>
      <c r="AZ42" s="117">
        <v>2644355252</v>
      </c>
      <c r="BA42" s="117">
        <v>2955978581</v>
      </c>
      <c r="BB42" s="117">
        <v>2948880185</v>
      </c>
      <c r="BC42" s="117">
        <v>2966804472</v>
      </c>
      <c r="BD42" s="127">
        <v>3025192000</v>
      </c>
      <c r="BE42" s="112"/>
      <c r="BF42" s="108" t="s">
        <v>127</v>
      </c>
      <c r="BG42" s="117">
        <v>525829560</v>
      </c>
      <c r="BH42" s="117">
        <v>632615242</v>
      </c>
      <c r="BI42" s="117">
        <v>626355262</v>
      </c>
      <c r="BJ42" s="117">
        <v>631422913</v>
      </c>
      <c r="BK42" s="127">
        <v>629895655</v>
      </c>
      <c r="BL42" s="111"/>
      <c r="BM42" s="108" t="s">
        <v>127</v>
      </c>
      <c r="BN42" s="117">
        <v>15539492049</v>
      </c>
      <c r="BO42" s="117">
        <v>16005849771</v>
      </c>
      <c r="BP42" s="117">
        <v>16255395090</v>
      </c>
      <c r="BQ42" s="117">
        <v>16706393396</v>
      </c>
      <c r="BR42" s="127">
        <v>17196606059</v>
      </c>
      <c r="BS42" s="111"/>
      <c r="BT42" s="108" t="s">
        <v>127</v>
      </c>
      <c r="BU42" s="117">
        <v>46841471059</v>
      </c>
      <c r="BV42" s="117">
        <v>51792558676</v>
      </c>
      <c r="BW42" s="117">
        <v>51555424323</v>
      </c>
      <c r="BX42" s="117">
        <v>51967355080</v>
      </c>
      <c r="BY42" s="127">
        <v>52348616301</v>
      </c>
    </row>
    <row r="43" spans="2:77" s="113" customFormat="1" ht="14.25" customHeight="1" thickBot="1">
      <c r="B43" s="108" t="s">
        <v>133</v>
      </c>
      <c r="C43" s="119">
        <v>300719252354</v>
      </c>
      <c r="D43" s="119">
        <v>352701212669</v>
      </c>
      <c r="E43" s="119">
        <v>438184096794</v>
      </c>
      <c r="F43" s="128">
        <v>540162802532</v>
      </c>
      <c r="G43" s="118"/>
      <c r="H43" s="105"/>
      <c r="I43" s="108" t="s">
        <v>133</v>
      </c>
      <c r="J43" s="119">
        <v>92728442148</v>
      </c>
      <c r="K43" s="119">
        <v>136944604821</v>
      </c>
      <c r="L43" s="119">
        <v>219173958171</v>
      </c>
      <c r="M43" s="128">
        <v>316444743725</v>
      </c>
      <c r="N43" s="118"/>
      <c r="P43" s="108" t="s">
        <v>133</v>
      </c>
      <c r="Q43" s="119">
        <v>26882507339</v>
      </c>
      <c r="R43" s="119">
        <v>56674474882</v>
      </c>
      <c r="S43" s="119">
        <v>121548676063</v>
      </c>
      <c r="T43" s="128">
        <v>210642244023</v>
      </c>
      <c r="U43" s="118"/>
      <c r="W43" s="108" t="s">
        <v>133</v>
      </c>
      <c r="X43" s="119">
        <v>65845934809</v>
      </c>
      <c r="Y43" s="119">
        <v>80270129939</v>
      </c>
      <c r="Z43" s="119">
        <v>97625282108</v>
      </c>
      <c r="AA43" s="128">
        <v>105802499702</v>
      </c>
      <c r="AB43" s="118"/>
      <c r="AC43" s="114"/>
      <c r="AD43" s="108" t="s">
        <v>133</v>
      </c>
      <c r="AE43" s="119">
        <v>207990810206</v>
      </c>
      <c r="AF43" s="119">
        <v>215756607848</v>
      </c>
      <c r="AG43" s="119">
        <v>219010138623</v>
      </c>
      <c r="AH43" s="128">
        <v>223718058807</v>
      </c>
      <c r="AI43" s="118"/>
      <c r="AJ43" s="114"/>
      <c r="AK43" s="108" t="s">
        <v>133</v>
      </c>
      <c r="AL43" s="119">
        <v>36609240880</v>
      </c>
      <c r="AM43" s="119">
        <v>36568032158</v>
      </c>
      <c r="AN43" s="119">
        <v>37200768509</v>
      </c>
      <c r="AO43" s="128">
        <v>38458578956</v>
      </c>
      <c r="AP43" s="118"/>
      <c r="AQ43" s="114"/>
      <c r="AR43" s="108" t="s">
        <v>133</v>
      </c>
      <c r="AS43" s="119">
        <v>29188737585</v>
      </c>
      <c r="AT43" s="119">
        <v>30838177278</v>
      </c>
      <c r="AU43" s="119">
        <v>30844686192</v>
      </c>
      <c r="AV43" s="128">
        <v>30930486966</v>
      </c>
      <c r="AW43" s="118"/>
      <c r="AX43" s="114"/>
      <c r="AY43" s="108" t="s">
        <v>133</v>
      </c>
      <c r="AZ43" s="119">
        <v>5244895652</v>
      </c>
      <c r="BA43" s="119">
        <v>5387933471</v>
      </c>
      <c r="BB43" s="119">
        <v>5415463533</v>
      </c>
      <c r="BC43" s="128">
        <v>5508709128</v>
      </c>
      <c r="BD43" s="118"/>
      <c r="BE43" s="115"/>
      <c r="BF43" s="108" t="s">
        <v>133</v>
      </c>
      <c r="BG43" s="119">
        <v>1034614523</v>
      </c>
      <c r="BH43" s="119">
        <v>1168620687</v>
      </c>
      <c r="BI43" s="119">
        <v>1214565824</v>
      </c>
      <c r="BJ43" s="128">
        <v>1255606995</v>
      </c>
      <c r="BK43" s="118"/>
      <c r="BL43" s="114"/>
      <c r="BM43" s="108" t="s">
        <v>133</v>
      </c>
      <c r="BN43" s="119">
        <v>31990232600</v>
      </c>
      <c r="BO43" s="119">
        <v>34042660779</v>
      </c>
      <c r="BP43" s="119">
        <v>35232298680</v>
      </c>
      <c r="BQ43" s="128">
        <v>36972717146</v>
      </c>
      <c r="BR43" s="118"/>
      <c r="BS43" s="114"/>
      <c r="BT43" s="108" t="s">
        <v>133</v>
      </c>
      <c r="BU43" s="119">
        <v>103923088966</v>
      </c>
      <c r="BV43" s="119">
        <v>107751183475</v>
      </c>
      <c r="BW43" s="119">
        <v>109102355885</v>
      </c>
      <c r="BX43" s="128">
        <v>110591959616</v>
      </c>
      <c r="BY43" s="118"/>
    </row>
    <row r="44" spans="2:77" s="113" customFormat="1" ht="14.25" customHeight="1" thickBot="1">
      <c r="B44" s="108" t="s">
        <v>140</v>
      </c>
      <c r="C44" s="117">
        <v>556708936330</v>
      </c>
      <c r="D44" s="117">
        <v>696867387310</v>
      </c>
      <c r="E44" s="127">
        <v>851654575153</v>
      </c>
      <c r="F44" s="118"/>
      <c r="G44" s="118"/>
      <c r="H44" s="105"/>
      <c r="I44" s="108" t="s">
        <v>140</v>
      </c>
      <c r="J44" s="117">
        <v>165985617297</v>
      </c>
      <c r="K44" s="117">
        <v>297078031485</v>
      </c>
      <c r="L44" s="127">
        <v>441226472147</v>
      </c>
      <c r="M44" s="118"/>
      <c r="N44" s="118"/>
      <c r="P44" s="108" t="s">
        <v>140</v>
      </c>
      <c r="Q44" s="117">
        <v>48772222816</v>
      </c>
      <c r="R44" s="117">
        <v>142089883261</v>
      </c>
      <c r="S44" s="127">
        <v>256582753893</v>
      </c>
      <c r="T44" s="118"/>
      <c r="U44" s="118"/>
      <c r="W44" s="108" t="s">
        <v>140</v>
      </c>
      <c r="X44" s="117">
        <v>117213394481</v>
      </c>
      <c r="Y44" s="117">
        <v>154988148224</v>
      </c>
      <c r="Z44" s="127">
        <v>184643718254</v>
      </c>
      <c r="AA44" s="118"/>
      <c r="AB44" s="118"/>
      <c r="AC44" s="114"/>
      <c r="AD44" s="108" t="s">
        <v>140</v>
      </c>
      <c r="AE44" s="117">
        <v>390723319033</v>
      </c>
      <c r="AF44" s="117">
        <v>399789355825</v>
      </c>
      <c r="AG44" s="127">
        <v>410428103006</v>
      </c>
      <c r="AH44" s="118"/>
      <c r="AI44" s="118"/>
      <c r="AJ44" s="114"/>
      <c r="AK44" s="108" t="s">
        <v>140</v>
      </c>
      <c r="AL44" s="117">
        <v>85626843800</v>
      </c>
      <c r="AM44" s="117">
        <v>79697472710</v>
      </c>
      <c r="AN44" s="127">
        <v>81460814738</v>
      </c>
      <c r="AO44" s="118"/>
      <c r="AP44" s="118"/>
      <c r="AQ44" s="114"/>
      <c r="AR44" s="108" t="s">
        <v>140</v>
      </c>
      <c r="AS44" s="117">
        <v>50111475334</v>
      </c>
      <c r="AT44" s="117">
        <v>51391730318</v>
      </c>
      <c r="AU44" s="127">
        <v>51292951963</v>
      </c>
      <c r="AV44" s="118"/>
      <c r="AW44" s="118"/>
      <c r="AX44" s="114"/>
      <c r="AY44" s="108" t="s">
        <v>140</v>
      </c>
      <c r="AZ44" s="117">
        <v>11707540342</v>
      </c>
      <c r="BA44" s="117">
        <v>11060556100</v>
      </c>
      <c r="BB44" s="127">
        <v>11181822777</v>
      </c>
      <c r="BC44" s="118"/>
      <c r="BD44" s="118"/>
      <c r="BE44" s="115"/>
      <c r="BF44" s="108" t="s">
        <v>140</v>
      </c>
      <c r="BG44" s="117">
        <v>2182227221</v>
      </c>
      <c r="BH44" s="117">
        <v>1937465894</v>
      </c>
      <c r="BI44" s="127">
        <v>2027472653</v>
      </c>
      <c r="BJ44" s="118"/>
      <c r="BK44" s="118"/>
      <c r="BL44" s="114"/>
      <c r="BM44" s="108" t="s">
        <v>140</v>
      </c>
      <c r="BN44" s="117">
        <v>62634836940</v>
      </c>
      <c r="BO44" s="117">
        <v>67634028099</v>
      </c>
      <c r="BP44" s="127">
        <v>72252969202</v>
      </c>
      <c r="BQ44" s="118"/>
      <c r="BR44" s="118"/>
      <c r="BS44" s="114"/>
      <c r="BT44" s="108" t="s">
        <v>140</v>
      </c>
      <c r="BU44" s="117">
        <v>178460395396</v>
      </c>
      <c r="BV44" s="117">
        <v>188068102704</v>
      </c>
      <c r="BW44" s="127">
        <v>192212071673</v>
      </c>
      <c r="BX44" s="118"/>
      <c r="BY44" s="118"/>
    </row>
    <row r="45" spans="2:77" s="113" customFormat="1" ht="14.25" customHeight="1" thickBot="1">
      <c r="B45" s="108" t="s">
        <v>141</v>
      </c>
      <c r="C45" s="119">
        <v>1770451028760</v>
      </c>
      <c r="D45" s="128">
        <v>2173136311127</v>
      </c>
      <c r="E45" s="118"/>
      <c r="F45" s="118"/>
      <c r="G45" s="118"/>
      <c r="H45" s="105"/>
      <c r="I45" s="108" t="s">
        <v>141</v>
      </c>
      <c r="J45" s="119">
        <v>490522782759</v>
      </c>
      <c r="K45" s="128">
        <v>776067547428</v>
      </c>
      <c r="L45" s="118"/>
      <c r="M45" s="118"/>
      <c r="N45" s="118"/>
      <c r="P45" s="108" t="s">
        <v>141</v>
      </c>
      <c r="Q45" s="119">
        <v>128817664443</v>
      </c>
      <c r="R45" s="128">
        <v>317475709713</v>
      </c>
      <c r="S45" s="118"/>
      <c r="T45" s="118"/>
      <c r="U45" s="118"/>
      <c r="W45" s="108" t="s">
        <v>141</v>
      </c>
      <c r="X45" s="119">
        <v>361705118316</v>
      </c>
      <c r="Y45" s="128">
        <v>458591837715</v>
      </c>
      <c r="Z45" s="118"/>
      <c r="AA45" s="118"/>
      <c r="AB45" s="118"/>
      <c r="AC45" s="114"/>
      <c r="AD45" s="108" t="s">
        <v>141</v>
      </c>
      <c r="AE45" s="119">
        <v>1279928246001</v>
      </c>
      <c r="AF45" s="128">
        <v>1397068763699</v>
      </c>
      <c r="AG45" s="118"/>
      <c r="AH45" s="118"/>
      <c r="AI45" s="118"/>
      <c r="AJ45" s="114"/>
      <c r="AK45" s="108" t="s">
        <v>141</v>
      </c>
      <c r="AL45" s="119">
        <v>268040775154</v>
      </c>
      <c r="AM45" s="128">
        <v>283886523769</v>
      </c>
      <c r="AN45" s="118"/>
      <c r="AO45" s="118"/>
      <c r="AP45" s="118"/>
      <c r="AQ45" s="114"/>
      <c r="AR45" s="108" t="s">
        <v>141</v>
      </c>
      <c r="AS45" s="119">
        <v>132712389112</v>
      </c>
      <c r="AT45" s="128">
        <v>139274880887</v>
      </c>
      <c r="AU45" s="118"/>
      <c r="AV45" s="118"/>
      <c r="AW45" s="118"/>
      <c r="AX45" s="114"/>
      <c r="AY45" s="108" t="s">
        <v>141</v>
      </c>
      <c r="AZ45" s="119">
        <v>29621348367</v>
      </c>
      <c r="BA45" s="128">
        <v>34974516303</v>
      </c>
      <c r="BB45" s="118"/>
      <c r="BC45" s="118"/>
      <c r="BD45" s="118"/>
      <c r="BE45" s="115"/>
      <c r="BF45" s="108" t="s">
        <v>141</v>
      </c>
      <c r="BG45" s="119">
        <v>7520439179</v>
      </c>
      <c r="BH45" s="128">
        <v>6890641338</v>
      </c>
      <c r="BI45" s="118"/>
      <c r="BJ45" s="118"/>
      <c r="BK45" s="118"/>
      <c r="BL45" s="114"/>
      <c r="BM45" s="108" t="s">
        <v>141</v>
      </c>
      <c r="BN45" s="119">
        <v>198271250734</v>
      </c>
      <c r="BO45" s="128">
        <v>225107769509</v>
      </c>
      <c r="BP45" s="118"/>
      <c r="BQ45" s="118"/>
      <c r="BR45" s="118"/>
      <c r="BS45" s="114"/>
      <c r="BT45" s="108" t="s">
        <v>141</v>
      </c>
      <c r="BU45" s="119">
        <v>643762043455</v>
      </c>
      <c r="BV45" s="128">
        <v>706934431893</v>
      </c>
      <c r="BW45" s="118"/>
      <c r="BX45" s="118"/>
      <c r="BY45" s="118"/>
    </row>
    <row r="46" spans="2:77" s="113" customFormat="1" ht="14.25" customHeight="1" thickBot="1">
      <c r="B46" s="126" t="s">
        <v>150</v>
      </c>
      <c r="C46" s="127">
        <v>3838736408786</v>
      </c>
      <c r="D46" s="118"/>
      <c r="E46" s="118"/>
      <c r="F46" s="118"/>
      <c r="G46" s="118"/>
      <c r="H46" s="105"/>
      <c r="I46" s="126" t="s">
        <v>150</v>
      </c>
      <c r="J46" s="127">
        <v>1175188491807</v>
      </c>
      <c r="K46" s="118"/>
      <c r="L46" s="118"/>
      <c r="M46" s="118"/>
      <c r="N46" s="118"/>
      <c r="P46" s="126" t="s">
        <v>150</v>
      </c>
      <c r="Q46" s="127">
        <v>315354213068</v>
      </c>
      <c r="R46" s="118"/>
      <c r="S46" s="118"/>
      <c r="T46" s="118"/>
      <c r="U46" s="118"/>
      <c r="W46" s="126" t="s">
        <v>150</v>
      </c>
      <c r="X46" s="127">
        <v>859834278739</v>
      </c>
      <c r="Y46" s="118"/>
      <c r="Z46" s="118"/>
      <c r="AA46" s="118"/>
      <c r="AB46" s="118"/>
      <c r="AC46" s="114"/>
      <c r="AD46" s="126" t="s">
        <v>150</v>
      </c>
      <c r="AE46" s="127">
        <v>2663547916979</v>
      </c>
      <c r="AF46" s="118"/>
      <c r="AG46" s="118"/>
      <c r="AH46" s="118"/>
      <c r="AI46" s="118"/>
      <c r="AK46" s="126" t="s">
        <v>150</v>
      </c>
      <c r="AL46" s="127">
        <v>572923218583</v>
      </c>
      <c r="AM46" s="118"/>
      <c r="AN46" s="118"/>
      <c r="AO46" s="118"/>
      <c r="AP46" s="118"/>
      <c r="AQ46" s="114"/>
      <c r="AR46" s="126" t="s">
        <v>150</v>
      </c>
      <c r="AS46" s="127">
        <v>149982251816</v>
      </c>
      <c r="AT46" s="118"/>
      <c r="AU46" s="118"/>
      <c r="AV46" s="118"/>
      <c r="AW46" s="118"/>
      <c r="AX46" s="114"/>
      <c r="AY46" s="126" t="s">
        <v>150</v>
      </c>
      <c r="AZ46" s="127">
        <v>78902842348</v>
      </c>
      <c r="BA46" s="118"/>
      <c r="BB46" s="118"/>
      <c r="BC46" s="118"/>
      <c r="BD46" s="118"/>
      <c r="BE46" s="115"/>
      <c r="BF46" s="126" t="s">
        <v>150</v>
      </c>
      <c r="BG46" s="127">
        <v>12777500345</v>
      </c>
      <c r="BH46" s="118"/>
      <c r="BI46" s="118"/>
      <c r="BJ46" s="118"/>
      <c r="BK46" s="118"/>
      <c r="BL46" s="114"/>
      <c r="BM46" s="126" t="s">
        <v>150</v>
      </c>
      <c r="BN46" s="127">
        <v>499800562955</v>
      </c>
      <c r="BO46" s="118"/>
      <c r="BP46" s="118"/>
      <c r="BQ46" s="118"/>
      <c r="BR46" s="118"/>
      <c r="BS46" s="114"/>
      <c r="BT46" s="126" t="s">
        <v>150</v>
      </c>
      <c r="BU46" s="127">
        <v>1349161540932</v>
      </c>
      <c r="BV46" s="118"/>
      <c r="BW46" s="118"/>
      <c r="BX46" s="118"/>
      <c r="BY46" s="118"/>
    </row>
    <row r="47" spans="2:77" s="113" customFormat="1" ht="12.75">
      <c r="B47" s="116"/>
      <c r="H47" s="105"/>
      <c r="I47" s="116"/>
      <c r="O47" s="114"/>
      <c r="P47" s="116"/>
      <c r="W47" s="116"/>
      <c r="AC47" s="114"/>
      <c r="AD47" s="116"/>
      <c r="AK47" s="116"/>
      <c r="AR47" s="116"/>
      <c r="AY47" s="116"/>
      <c r="BE47" s="115"/>
      <c r="BF47" s="116"/>
      <c r="BM47" s="116"/>
      <c r="BT47" s="116"/>
    </row>
    <row r="48" spans="2:77" s="20" customFormat="1" ht="12.75">
      <c r="B48" s="23"/>
      <c r="H48" s="19"/>
      <c r="I48" s="23"/>
      <c r="P48" s="23"/>
      <c r="W48" s="23"/>
      <c r="AC48" s="21"/>
      <c r="AD48" s="23"/>
      <c r="AK48" s="23"/>
      <c r="AR48" s="23"/>
      <c r="AY48" s="23"/>
      <c r="BE48" s="22"/>
      <c r="BF48" s="23"/>
      <c r="BM48" s="23"/>
      <c r="BT48" s="23"/>
    </row>
    <row r="49" spans="2:72" s="20" customFormat="1" ht="12.75">
      <c r="B49" s="23"/>
      <c r="H49" s="19"/>
      <c r="I49" s="23"/>
      <c r="P49" s="23"/>
      <c r="W49" s="23"/>
      <c r="AC49" s="21"/>
      <c r="AD49" s="23"/>
      <c r="AG49" s="10"/>
      <c r="AH49" s="10"/>
      <c r="AI49" s="10"/>
      <c r="AJ49" s="10"/>
      <c r="AK49" s="10"/>
      <c r="AL49" s="10"/>
      <c r="AR49" s="23"/>
      <c r="AY49" s="23"/>
      <c r="BE49" s="22"/>
      <c r="BF49" s="23"/>
      <c r="BM49" s="23"/>
      <c r="BT49" s="23"/>
    </row>
  </sheetData>
  <mergeCells count="132">
    <mergeCell ref="B26:B28"/>
    <mergeCell ref="C26:G26"/>
    <mergeCell ref="C27:G27"/>
    <mergeCell ref="B39:B41"/>
    <mergeCell ref="C39:G39"/>
    <mergeCell ref="C40:G40"/>
    <mergeCell ref="C4:G4"/>
    <mergeCell ref="C3:G3"/>
    <mergeCell ref="B3:B5"/>
    <mergeCell ref="B15:B17"/>
    <mergeCell ref="C15:G15"/>
    <mergeCell ref="C16:G16"/>
    <mergeCell ref="I26:I28"/>
    <mergeCell ref="J26:N26"/>
    <mergeCell ref="J27:N27"/>
    <mergeCell ref="I39:I41"/>
    <mergeCell ref="J39:N39"/>
    <mergeCell ref="J40:N40"/>
    <mergeCell ref="I3:I5"/>
    <mergeCell ref="J3:N3"/>
    <mergeCell ref="J4:N4"/>
    <mergeCell ref="I15:I17"/>
    <mergeCell ref="J15:N15"/>
    <mergeCell ref="J16:N16"/>
    <mergeCell ref="BG3:BK3"/>
    <mergeCell ref="BG4:BK4"/>
    <mergeCell ref="AE3:AI3"/>
    <mergeCell ref="AE4:AI4"/>
    <mergeCell ref="AD3:AD5"/>
    <mergeCell ref="AK3:AK5"/>
    <mergeCell ref="AL3:AP3"/>
    <mergeCell ref="AL4:AP4"/>
    <mergeCell ref="P3:P5"/>
    <mergeCell ref="Q3:U3"/>
    <mergeCell ref="Q4:U4"/>
    <mergeCell ref="W3:W5"/>
    <mergeCell ref="X3:AB3"/>
    <mergeCell ref="X4:AB4"/>
    <mergeCell ref="AK15:AK17"/>
    <mergeCell ref="AL15:AP15"/>
    <mergeCell ref="AL16:AP16"/>
    <mergeCell ref="AR15:AR17"/>
    <mergeCell ref="BM3:BM5"/>
    <mergeCell ref="BN3:BR3"/>
    <mergeCell ref="BN4:BR4"/>
    <mergeCell ref="P15:P17"/>
    <mergeCell ref="Q15:U15"/>
    <mergeCell ref="Q16:U16"/>
    <mergeCell ref="W15:W17"/>
    <mergeCell ref="X15:AB15"/>
    <mergeCell ref="X16:AB16"/>
    <mergeCell ref="AD15:AD17"/>
    <mergeCell ref="AY3:AY5"/>
    <mergeCell ref="AZ3:BD3"/>
    <mergeCell ref="AZ4:BD4"/>
    <mergeCell ref="BT3:BT5"/>
    <mergeCell ref="BU3:BY3"/>
    <mergeCell ref="BU4:BY4"/>
    <mergeCell ref="AR3:AR5"/>
    <mergeCell ref="AS3:AW3"/>
    <mergeCell ref="AS4:AW4"/>
    <mergeCell ref="BF3:BF5"/>
    <mergeCell ref="BN15:BR15"/>
    <mergeCell ref="BN16:BR16"/>
    <mergeCell ref="P26:P28"/>
    <mergeCell ref="Q26:U26"/>
    <mergeCell ref="Q27:U27"/>
    <mergeCell ref="W26:W28"/>
    <mergeCell ref="X26:AB26"/>
    <mergeCell ref="X27:AB27"/>
    <mergeCell ref="AD26:AD28"/>
    <mergeCell ref="AE26:AI26"/>
    <mergeCell ref="AZ15:BD15"/>
    <mergeCell ref="AZ16:BD16"/>
    <mergeCell ref="BT15:BT17"/>
    <mergeCell ref="BU15:BY15"/>
    <mergeCell ref="BU16:BY16"/>
    <mergeCell ref="BM15:BM17"/>
    <mergeCell ref="AS15:AW15"/>
    <mergeCell ref="AS16:AW16"/>
    <mergeCell ref="BF15:BF17"/>
    <mergeCell ref="BG15:BK15"/>
    <mergeCell ref="BG16:BK16"/>
    <mergeCell ref="AY15:AY17"/>
    <mergeCell ref="AE15:AI15"/>
    <mergeCell ref="AE16:AI16"/>
    <mergeCell ref="BM26:BM28"/>
    <mergeCell ref="BN26:BR26"/>
    <mergeCell ref="BN27:BR27"/>
    <mergeCell ref="BF26:BF28"/>
    <mergeCell ref="BG26:BK26"/>
    <mergeCell ref="BG27:BK27"/>
    <mergeCell ref="AY26:AY28"/>
    <mergeCell ref="AZ26:BD26"/>
    <mergeCell ref="AZ27:BD27"/>
    <mergeCell ref="P39:P41"/>
    <mergeCell ref="Q39:U39"/>
    <mergeCell ref="Q40:U40"/>
    <mergeCell ref="W39:W41"/>
    <mergeCell ref="X39:AB39"/>
    <mergeCell ref="X40:AB40"/>
    <mergeCell ref="BT26:BT28"/>
    <mergeCell ref="BU26:BY26"/>
    <mergeCell ref="BU27:BY27"/>
    <mergeCell ref="AE27:AI27"/>
    <mergeCell ref="AK26:AK28"/>
    <mergeCell ref="AL26:AP26"/>
    <mergeCell ref="AL27:AP27"/>
    <mergeCell ref="AR26:AR28"/>
    <mergeCell ref="AS26:AW26"/>
    <mergeCell ref="AS27:AW27"/>
    <mergeCell ref="AR39:AR41"/>
    <mergeCell ref="AS39:AW39"/>
    <mergeCell ref="AS40:AW40"/>
    <mergeCell ref="BF39:BF41"/>
    <mergeCell ref="BG39:BK39"/>
    <mergeCell ref="BG40:BK40"/>
    <mergeCell ref="AD39:AD41"/>
    <mergeCell ref="AE39:AI39"/>
    <mergeCell ref="AE40:AI40"/>
    <mergeCell ref="AK39:AK41"/>
    <mergeCell ref="AL39:AP39"/>
    <mergeCell ref="AL40:AP40"/>
    <mergeCell ref="BM39:BM41"/>
    <mergeCell ref="BN39:BR39"/>
    <mergeCell ref="BN40:BR40"/>
    <mergeCell ref="AY39:AY41"/>
    <mergeCell ref="AZ39:BD39"/>
    <mergeCell ref="AZ40:BD40"/>
    <mergeCell ref="BT39:BT41"/>
    <mergeCell ref="BU39:BY39"/>
    <mergeCell ref="BU40:BY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77"/>
  <sheetViews>
    <sheetView zoomScale="85" zoomScaleNormal="85" zoomScaleSheetLayoutView="70" workbookViewId="0">
      <selection activeCell="K13" sqref="K13"/>
    </sheetView>
  </sheetViews>
  <sheetFormatPr baseColWidth="10" defaultRowHeight="12.75"/>
  <cols>
    <col min="1" max="1" width="10.140625" style="79" bestFit="1" customWidth="1"/>
    <col min="2" max="2" width="30.42578125" style="92" bestFit="1" customWidth="1"/>
    <col min="3" max="3" width="13.140625" style="79" bestFit="1" customWidth="1"/>
    <col min="4" max="4" width="3" style="79" bestFit="1" customWidth="1"/>
    <col min="5" max="7" width="24.7109375" style="103" customWidth="1"/>
    <col min="8" max="8" width="24.7109375" style="104" customWidth="1"/>
    <col min="9" max="16384" width="11.42578125" style="79"/>
  </cols>
  <sheetData>
    <row r="1" spans="1:8" s="80" customFormat="1" ht="18.75">
      <c r="A1" s="159" t="s">
        <v>37</v>
      </c>
      <c r="B1" s="160"/>
      <c r="C1" s="160"/>
      <c r="D1" s="160"/>
      <c r="E1" s="161" t="s">
        <v>55</v>
      </c>
      <c r="F1" s="161"/>
      <c r="G1" s="161"/>
      <c r="H1" s="162"/>
    </row>
    <row r="2" spans="1:8" s="81" customFormat="1" ht="21" customHeight="1">
      <c r="A2" s="155" t="s">
        <v>83</v>
      </c>
      <c r="B2" s="163"/>
      <c r="C2" s="163"/>
      <c r="D2" s="163"/>
      <c r="E2" s="153" t="s">
        <v>152</v>
      </c>
      <c r="F2" s="153"/>
      <c r="G2" s="153"/>
      <c r="H2" s="154"/>
    </row>
    <row r="3" spans="1:8" s="81" customFormat="1" ht="21" customHeight="1">
      <c r="A3" s="155" t="s">
        <v>99</v>
      </c>
      <c r="B3" s="163"/>
      <c r="C3" s="163"/>
      <c r="D3" s="163"/>
      <c r="E3" s="153" t="s">
        <v>100</v>
      </c>
      <c r="F3" s="153"/>
      <c r="G3" s="153"/>
      <c r="H3" s="154"/>
    </row>
    <row r="4" spans="1:8" s="80" customFormat="1" ht="21" customHeight="1">
      <c r="A4" s="150" t="s">
        <v>98</v>
      </c>
      <c r="B4" s="151"/>
      <c r="C4" s="151"/>
      <c r="D4" s="152"/>
      <c r="E4" s="153" t="s">
        <v>151</v>
      </c>
      <c r="F4" s="153"/>
      <c r="G4" s="153"/>
      <c r="H4" s="154"/>
    </row>
    <row r="5" spans="1:8" s="82" customFormat="1" ht="17.25" customHeight="1">
      <c r="A5" s="155" t="s">
        <v>135</v>
      </c>
      <c r="B5" s="157" t="s">
        <v>136</v>
      </c>
      <c r="C5" s="157" t="s">
        <v>137</v>
      </c>
      <c r="D5" s="157"/>
      <c r="E5" s="130" t="s">
        <v>2</v>
      </c>
      <c r="F5" s="130" t="s">
        <v>2</v>
      </c>
      <c r="G5" s="130" t="s">
        <v>35</v>
      </c>
      <c r="H5" s="131" t="s">
        <v>138</v>
      </c>
    </row>
    <row r="6" spans="1:8" s="82" customFormat="1" ht="18.75" customHeight="1" thickBot="1">
      <c r="A6" s="156"/>
      <c r="B6" s="158"/>
      <c r="C6" s="129" t="s">
        <v>0</v>
      </c>
      <c r="D6" s="74" t="s">
        <v>1</v>
      </c>
      <c r="E6" s="132" t="s">
        <v>34</v>
      </c>
      <c r="F6" s="132" t="s">
        <v>3</v>
      </c>
      <c r="G6" s="132" t="s">
        <v>36</v>
      </c>
      <c r="H6" s="133" t="s">
        <v>139</v>
      </c>
    </row>
    <row r="7" spans="1:8" s="84" customFormat="1" ht="15" customHeight="1">
      <c r="A7" s="83" t="s">
        <v>4</v>
      </c>
      <c r="B7" s="88" t="s">
        <v>5</v>
      </c>
      <c r="C7" s="75"/>
      <c r="D7" s="75"/>
      <c r="E7" s="99">
        <f>SUM(E8:E16)</f>
        <v>1600324993192</v>
      </c>
      <c r="F7" s="99">
        <f t="shared" ref="F7:G7" si="0">SUM(F8:F16)</f>
        <v>2238411415594</v>
      </c>
      <c r="G7" s="99">
        <f t="shared" si="0"/>
        <v>3838736408786</v>
      </c>
      <c r="H7" s="95">
        <f>SUM(H8:H16)</f>
        <v>3435289</v>
      </c>
    </row>
    <row r="8" spans="1:8" ht="15" customHeight="1">
      <c r="A8" s="85" t="s">
        <v>4</v>
      </c>
      <c r="B8" s="89" t="s">
        <v>39</v>
      </c>
      <c r="C8" s="76">
        <v>1</v>
      </c>
      <c r="D8" s="76"/>
      <c r="E8" s="100">
        <v>14566025679</v>
      </c>
      <c r="F8" s="100">
        <v>4805988953</v>
      </c>
      <c r="G8" s="100">
        <v>19372014632</v>
      </c>
      <c r="H8" s="96">
        <v>20456</v>
      </c>
    </row>
    <row r="9" spans="1:8" ht="15" customHeight="1">
      <c r="A9" s="86" t="s">
        <v>4</v>
      </c>
      <c r="B9" s="90" t="s">
        <v>38</v>
      </c>
      <c r="C9" s="77">
        <v>2</v>
      </c>
      <c r="D9" s="77"/>
      <c r="E9" s="101">
        <v>160495857339</v>
      </c>
      <c r="F9" s="101">
        <v>135486341097</v>
      </c>
      <c r="G9" s="101">
        <v>295982198436</v>
      </c>
      <c r="H9" s="97">
        <v>191932</v>
      </c>
    </row>
    <row r="10" spans="1:8" ht="15" customHeight="1">
      <c r="A10" s="85" t="s">
        <v>4</v>
      </c>
      <c r="B10" s="89" t="s">
        <v>40</v>
      </c>
      <c r="C10" s="76">
        <v>3</v>
      </c>
      <c r="D10" s="76"/>
      <c r="E10" s="100">
        <v>419925116891</v>
      </c>
      <c r="F10" s="100">
        <v>439909161848</v>
      </c>
      <c r="G10" s="100">
        <v>859834278739</v>
      </c>
      <c r="H10" s="96">
        <v>1537094</v>
      </c>
    </row>
    <row r="11" spans="1:8" ht="15" customHeight="1">
      <c r="A11" s="86" t="s">
        <v>4</v>
      </c>
      <c r="B11" s="90" t="s">
        <v>6</v>
      </c>
      <c r="C11" s="77">
        <v>4</v>
      </c>
      <c r="D11" s="77"/>
      <c r="E11" s="101">
        <v>27100751487</v>
      </c>
      <c r="F11" s="101">
        <v>122881500329</v>
      </c>
      <c r="G11" s="101">
        <v>149982251816</v>
      </c>
      <c r="H11" s="97">
        <v>279878</v>
      </c>
    </row>
    <row r="12" spans="1:8" ht="15" customHeight="1">
      <c r="A12" s="85" t="s">
        <v>4</v>
      </c>
      <c r="B12" s="89" t="s">
        <v>7</v>
      </c>
      <c r="C12" s="76">
        <v>5</v>
      </c>
      <c r="D12" s="76"/>
      <c r="E12" s="100">
        <v>188789084444</v>
      </c>
      <c r="F12" s="100">
        <v>384134134139</v>
      </c>
      <c r="G12" s="100">
        <v>572923218583</v>
      </c>
      <c r="H12" s="96">
        <v>59640</v>
      </c>
    </row>
    <row r="13" spans="1:8" ht="15" customHeight="1">
      <c r="A13" s="86" t="s">
        <v>4</v>
      </c>
      <c r="B13" s="90" t="s">
        <v>8</v>
      </c>
      <c r="C13" s="77">
        <v>6</v>
      </c>
      <c r="D13" s="77"/>
      <c r="E13" s="101">
        <v>5893948951</v>
      </c>
      <c r="F13" s="101">
        <v>6883551394</v>
      </c>
      <c r="G13" s="101">
        <v>12777500345</v>
      </c>
      <c r="H13" s="97">
        <v>5907</v>
      </c>
    </row>
    <row r="14" spans="1:8" ht="15" customHeight="1">
      <c r="A14" s="85" t="s">
        <v>4</v>
      </c>
      <c r="B14" s="89" t="s">
        <v>9</v>
      </c>
      <c r="C14" s="76">
        <v>7</v>
      </c>
      <c r="D14" s="76"/>
      <c r="E14" s="100">
        <v>27415172918</v>
      </c>
      <c r="F14" s="100">
        <v>51487669430</v>
      </c>
      <c r="G14" s="100">
        <v>78902842348</v>
      </c>
      <c r="H14" s="96">
        <v>5825</v>
      </c>
    </row>
    <row r="15" spans="1:8" ht="15" customHeight="1">
      <c r="A15" s="86" t="s">
        <v>4</v>
      </c>
      <c r="B15" s="90" t="s">
        <v>10</v>
      </c>
      <c r="C15" s="77">
        <v>8</v>
      </c>
      <c r="D15" s="77"/>
      <c r="E15" s="101">
        <v>501119862156</v>
      </c>
      <c r="F15" s="101">
        <v>848041678776</v>
      </c>
      <c r="G15" s="101">
        <v>1349161540932</v>
      </c>
      <c r="H15" s="97">
        <v>1293544</v>
      </c>
    </row>
    <row r="16" spans="1:8" ht="15" customHeight="1" thickBot="1">
      <c r="A16" s="85" t="s">
        <v>4</v>
      </c>
      <c r="B16" s="89" t="s">
        <v>11</v>
      </c>
      <c r="C16" s="76">
        <v>9</v>
      </c>
      <c r="D16" s="76"/>
      <c r="E16" s="100">
        <v>255019173327</v>
      </c>
      <c r="F16" s="100">
        <v>244781389628</v>
      </c>
      <c r="G16" s="100">
        <v>499800562955</v>
      </c>
      <c r="H16" s="96">
        <v>41013</v>
      </c>
    </row>
    <row r="17" spans="1:8" s="84" customFormat="1" ht="15" customHeight="1">
      <c r="A17" s="83" t="s">
        <v>4</v>
      </c>
      <c r="B17" s="88" t="s">
        <v>5</v>
      </c>
      <c r="C17" s="75"/>
      <c r="D17" s="75"/>
      <c r="E17" s="99">
        <f>SUM(E18:E19)</f>
        <v>1600324993192</v>
      </c>
      <c r="F17" s="99">
        <f t="shared" ref="F17:H17" si="1">SUM(F18:F19)</f>
        <v>2238411415594</v>
      </c>
      <c r="G17" s="99">
        <f t="shared" si="1"/>
        <v>3838736408786</v>
      </c>
      <c r="H17" s="95">
        <f t="shared" si="1"/>
        <v>3435289</v>
      </c>
    </row>
    <row r="18" spans="1:8" s="84" customFormat="1" ht="15" customHeight="1">
      <c r="A18" s="85" t="s">
        <v>4</v>
      </c>
      <c r="B18" s="89" t="s">
        <v>12</v>
      </c>
      <c r="C18" s="76" t="s">
        <v>19</v>
      </c>
      <c r="D18" s="76"/>
      <c r="E18" s="100">
        <f>+E8+E9+E10</f>
        <v>594986999909</v>
      </c>
      <c r="F18" s="100">
        <f t="shared" ref="F18:H18" si="2">+F8+F9+F10</f>
        <v>580201491898</v>
      </c>
      <c r="G18" s="100">
        <f t="shared" si="2"/>
        <v>1175188491807</v>
      </c>
      <c r="H18" s="96">
        <f t="shared" si="2"/>
        <v>1749482</v>
      </c>
    </row>
    <row r="19" spans="1:8" s="84" customFormat="1" ht="15" customHeight="1" thickBot="1">
      <c r="A19" s="86" t="s">
        <v>4</v>
      </c>
      <c r="B19" s="90" t="s">
        <v>13</v>
      </c>
      <c r="C19" s="77" t="s">
        <v>20</v>
      </c>
      <c r="D19" s="77"/>
      <c r="E19" s="101">
        <f>+E11+E12+E13+E14+E15+E16</f>
        <v>1005337993283</v>
      </c>
      <c r="F19" s="101">
        <f t="shared" ref="F19:H19" si="3">+F11+F12+F13+F14+F15+F16</f>
        <v>1658209923696</v>
      </c>
      <c r="G19" s="101">
        <f t="shared" si="3"/>
        <v>2663547916979</v>
      </c>
      <c r="H19" s="97">
        <f t="shared" si="3"/>
        <v>1685807</v>
      </c>
    </row>
    <row r="20" spans="1:8" s="84" customFormat="1" ht="15" customHeight="1">
      <c r="A20" s="83" t="s">
        <v>84</v>
      </c>
      <c r="B20" s="88" t="s">
        <v>5</v>
      </c>
      <c r="C20" s="75"/>
      <c r="D20" s="75"/>
      <c r="E20" s="99">
        <f>SUM(E21:E45)</f>
        <v>1600324993192</v>
      </c>
      <c r="F20" s="99">
        <f t="shared" ref="F20:H20" si="4">SUM(F21:F45)</f>
        <v>2238411415594</v>
      </c>
      <c r="G20" s="99">
        <f t="shared" si="4"/>
        <v>3838736408786</v>
      </c>
      <c r="H20" s="95">
        <f t="shared" si="4"/>
        <v>2620506</v>
      </c>
    </row>
    <row r="21" spans="1:8" ht="15" customHeight="1">
      <c r="A21" s="85" t="s">
        <v>84</v>
      </c>
      <c r="B21" s="89" t="s">
        <v>57</v>
      </c>
      <c r="C21" s="76"/>
      <c r="D21" s="76"/>
      <c r="E21" s="100">
        <v>349543558942</v>
      </c>
      <c r="F21" s="100">
        <v>371499117685</v>
      </c>
      <c r="G21" s="100">
        <v>721042676627</v>
      </c>
      <c r="H21" s="96">
        <v>429169</v>
      </c>
    </row>
    <row r="22" spans="1:8" ht="15" customHeight="1">
      <c r="A22" s="86" t="s">
        <v>84</v>
      </c>
      <c r="B22" s="90" t="s">
        <v>58</v>
      </c>
      <c r="C22" s="77"/>
      <c r="D22" s="77"/>
      <c r="E22" s="101">
        <v>786726452770</v>
      </c>
      <c r="F22" s="101">
        <v>1163038103788</v>
      </c>
      <c r="G22" s="101">
        <v>1949764556558</v>
      </c>
      <c r="H22" s="97">
        <v>1187656</v>
      </c>
    </row>
    <row r="23" spans="1:8" ht="15" customHeight="1">
      <c r="A23" s="85" t="s">
        <v>84</v>
      </c>
      <c r="B23" s="89" t="s">
        <v>59</v>
      </c>
      <c r="C23" s="76"/>
      <c r="D23" s="76"/>
      <c r="E23" s="100">
        <v>1796343804</v>
      </c>
      <c r="F23" s="100">
        <v>3251395988</v>
      </c>
      <c r="G23" s="100">
        <v>5047739792</v>
      </c>
      <c r="H23" s="96">
        <v>5774</v>
      </c>
    </row>
    <row r="24" spans="1:8" ht="15" customHeight="1">
      <c r="A24" s="86" t="s">
        <v>84</v>
      </c>
      <c r="B24" s="90" t="s">
        <v>60</v>
      </c>
      <c r="C24" s="77"/>
      <c r="D24" s="77"/>
      <c r="E24" s="101">
        <v>98498488434</v>
      </c>
      <c r="F24" s="101">
        <v>152790869927</v>
      </c>
      <c r="G24" s="101">
        <v>251289358361</v>
      </c>
      <c r="H24" s="97">
        <v>216753</v>
      </c>
    </row>
    <row r="25" spans="1:8" ht="15" customHeight="1">
      <c r="A25" s="85" t="s">
        <v>84</v>
      </c>
      <c r="B25" s="89" t="s">
        <v>61</v>
      </c>
      <c r="C25" s="76"/>
      <c r="D25" s="76"/>
      <c r="E25" s="100">
        <v>10835857463</v>
      </c>
      <c r="F25" s="100">
        <v>15039515111</v>
      </c>
      <c r="G25" s="100">
        <v>25875372574</v>
      </c>
      <c r="H25" s="96">
        <v>21095</v>
      </c>
    </row>
    <row r="26" spans="1:8" ht="15" customHeight="1">
      <c r="A26" s="86" t="s">
        <v>84</v>
      </c>
      <c r="B26" s="90" t="s">
        <v>62</v>
      </c>
      <c r="C26" s="77"/>
      <c r="D26" s="77"/>
      <c r="E26" s="101">
        <v>21750933769</v>
      </c>
      <c r="F26" s="101">
        <v>35843267135</v>
      </c>
      <c r="G26" s="101">
        <v>57594200904</v>
      </c>
      <c r="H26" s="97">
        <v>59501</v>
      </c>
    </row>
    <row r="27" spans="1:8" ht="15" customHeight="1">
      <c r="A27" s="85" t="s">
        <v>84</v>
      </c>
      <c r="B27" s="89" t="s">
        <v>63</v>
      </c>
      <c r="C27" s="76"/>
      <c r="D27" s="76"/>
      <c r="E27" s="100">
        <v>3769154502</v>
      </c>
      <c r="F27" s="100">
        <v>4762929883</v>
      </c>
      <c r="G27" s="100">
        <v>8532084385</v>
      </c>
      <c r="H27" s="96">
        <v>8951</v>
      </c>
    </row>
    <row r="28" spans="1:8" ht="15" customHeight="1">
      <c r="A28" s="86" t="s">
        <v>84</v>
      </c>
      <c r="B28" s="90" t="s">
        <v>64</v>
      </c>
      <c r="C28" s="77"/>
      <c r="D28" s="77"/>
      <c r="E28" s="101">
        <v>51807796065</v>
      </c>
      <c r="F28" s="101">
        <v>81853826232</v>
      </c>
      <c r="G28" s="101">
        <v>133661622297</v>
      </c>
      <c r="H28" s="97">
        <v>101664</v>
      </c>
    </row>
    <row r="29" spans="1:8" ht="15" customHeight="1">
      <c r="A29" s="85" t="s">
        <v>84</v>
      </c>
      <c r="B29" s="89" t="s">
        <v>65</v>
      </c>
      <c r="C29" s="76"/>
      <c r="D29" s="76"/>
      <c r="E29" s="100">
        <v>1505131058</v>
      </c>
      <c r="F29" s="100">
        <v>2577486102</v>
      </c>
      <c r="G29" s="100">
        <v>4082617160</v>
      </c>
      <c r="H29" s="96">
        <v>3668</v>
      </c>
    </row>
    <row r="30" spans="1:8" ht="15" customHeight="1">
      <c r="A30" s="86" t="s">
        <v>84</v>
      </c>
      <c r="B30" s="90" t="s">
        <v>66</v>
      </c>
      <c r="C30" s="77"/>
      <c r="D30" s="77"/>
      <c r="E30" s="101">
        <v>9043456385</v>
      </c>
      <c r="F30" s="101">
        <v>13356653895</v>
      </c>
      <c r="G30" s="101">
        <v>22400110280</v>
      </c>
      <c r="H30" s="97">
        <v>19479</v>
      </c>
    </row>
    <row r="31" spans="1:8" ht="15" customHeight="1">
      <c r="A31" s="85" t="s">
        <v>84</v>
      </c>
      <c r="B31" s="89" t="s">
        <v>67</v>
      </c>
      <c r="C31" s="76"/>
      <c r="D31" s="76"/>
      <c r="E31" s="100">
        <v>7021559825</v>
      </c>
      <c r="F31" s="100">
        <v>10749850148</v>
      </c>
      <c r="G31" s="100">
        <v>17771409973</v>
      </c>
      <c r="H31" s="96">
        <v>18254</v>
      </c>
    </row>
    <row r="32" spans="1:8" ht="15" customHeight="1">
      <c r="A32" s="86" t="s">
        <v>84</v>
      </c>
      <c r="B32" s="90" t="s">
        <v>68</v>
      </c>
      <c r="C32" s="77"/>
      <c r="D32" s="77"/>
      <c r="E32" s="101">
        <v>6573939087</v>
      </c>
      <c r="F32" s="101">
        <v>9374928256</v>
      </c>
      <c r="G32" s="101">
        <v>15948867343</v>
      </c>
      <c r="H32" s="97">
        <v>13537</v>
      </c>
    </row>
    <row r="33" spans="1:8" ht="15" customHeight="1">
      <c r="A33" s="85" t="s">
        <v>84</v>
      </c>
      <c r="B33" s="89" t="s">
        <v>69</v>
      </c>
      <c r="C33" s="76"/>
      <c r="D33" s="76"/>
      <c r="E33" s="100">
        <v>100209118706</v>
      </c>
      <c r="F33" s="100">
        <v>145330595465</v>
      </c>
      <c r="G33" s="100">
        <v>245539714171</v>
      </c>
      <c r="H33" s="96">
        <v>207610</v>
      </c>
    </row>
    <row r="34" spans="1:8" ht="15" customHeight="1">
      <c r="A34" s="86" t="s">
        <v>84</v>
      </c>
      <c r="B34" s="90" t="s">
        <v>70</v>
      </c>
      <c r="C34" s="77"/>
      <c r="D34" s="77"/>
      <c r="E34" s="101">
        <v>6485980056</v>
      </c>
      <c r="F34" s="101">
        <v>7939064383</v>
      </c>
      <c r="G34" s="101">
        <v>14425044439</v>
      </c>
      <c r="H34" s="97">
        <v>10253</v>
      </c>
    </row>
    <row r="35" spans="1:8" ht="15" customHeight="1">
      <c r="A35" s="85" t="s">
        <v>84</v>
      </c>
      <c r="B35" s="89" t="s">
        <v>71</v>
      </c>
      <c r="C35" s="76"/>
      <c r="D35" s="76"/>
      <c r="E35" s="100">
        <v>14733464801</v>
      </c>
      <c r="F35" s="100">
        <v>21167153343</v>
      </c>
      <c r="G35" s="100">
        <v>35900618144</v>
      </c>
      <c r="H35" s="96">
        <v>43025</v>
      </c>
    </row>
    <row r="36" spans="1:8" ht="15" customHeight="1">
      <c r="A36" s="86" t="s">
        <v>84</v>
      </c>
      <c r="B36" s="90" t="s">
        <v>72</v>
      </c>
      <c r="C36" s="77"/>
      <c r="D36" s="77"/>
      <c r="E36" s="101">
        <v>13929783074</v>
      </c>
      <c r="F36" s="101">
        <v>19637945712</v>
      </c>
      <c r="G36" s="101">
        <v>33567728786</v>
      </c>
      <c r="H36" s="97">
        <v>25257</v>
      </c>
    </row>
    <row r="37" spans="1:8" ht="15" customHeight="1">
      <c r="A37" s="85" t="s">
        <v>84</v>
      </c>
      <c r="B37" s="89" t="s">
        <v>73</v>
      </c>
      <c r="C37" s="76"/>
      <c r="D37" s="76"/>
      <c r="E37" s="100">
        <v>14873378781</v>
      </c>
      <c r="F37" s="100">
        <v>29264004661</v>
      </c>
      <c r="G37" s="100">
        <v>44137383442</v>
      </c>
      <c r="H37" s="96">
        <v>46580</v>
      </c>
    </row>
    <row r="38" spans="1:8" ht="15" customHeight="1">
      <c r="A38" s="86" t="s">
        <v>84</v>
      </c>
      <c r="B38" s="90" t="s">
        <v>74</v>
      </c>
      <c r="C38" s="77"/>
      <c r="D38" s="77"/>
      <c r="E38" s="101">
        <v>3689341715</v>
      </c>
      <c r="F38" s="101">
        <v>4832870478</v>
      </c>
      <c r="G38" s="101">
        <v>8522212193</v>
      </c>
      <c r="H38" s="97">
        <v>6620</v>
      </c>
    </row>
    <row r="39" spans="1:8" ht="15" customHeight="1">
      <c r="A39" s="85" t="s">
        <v>84</v>
      </c>
      <c r="B39" s="89" t="s">
        <v>75</v>
      </c>
      <c r="C39" s="76"/>
      <c r="D39" s="76"/>
      <c r="E39" s="100">
        <v>11119229977</v>
      </c>
      <c r="F39" s="100">
        <v>14695235491</v>
      </c>
      <c r="G39" s="100">
        <v>25814465468</v>
      </c>
      <c r="H39" s="96">
        <v>21939</v>
      </c>
    </row>
    <row r="40" spans="1:8" ht="15" customHeight="1">
      <c r="A40" s="86" t="s">
        <v>84</v>
      </c>
      <c r="B40" s="90" t="s">
        <v>76</v>
      </c>
      <c r="C40" s="77"/>
      <c r="D40" s="77"/>
      <c r="E40" s="101">
        <v>28186170894</v>
      </c>
      <c r="F40" s="101">
        <v>45189959199</v>
      </c>
      <c r="G40" s="101">
        <v>73376130093</v>
      </c>
      <c r="H40" s="97">
        <v>63778</v>
      </c>
    </row>
    <row r="41" spans="1:8" ht="15" customHeight="1">
      <c r="A41" s="85" t="s">
        <v>84</v>
      </c>
      <c r="B41" s="89" t="s">
        <v>77</v>
      </c>
      <c r="C41" s="76"/>
      <c r="D41" s="76"/>
      <c r="E41" s="100">
        <v>11335387106</v>
      </c>
      <c r="F41" s="100">
        <v>13629150295</v>
      </c>
      <c r="G41" s="100">
        <v>24964537401</v>
      </c>
      <c r="H41" s="96">
        <v>17351</v>
      </c>
    </row>
    <row r="42" spans="1:8" ht="15" customHeight="1">
      <c r="A42" s="86" t="s">
        <v>84</v>
      </c>
      <c r="B42" s="90" t="s">
        <v>78</v>
      </c>
      <c r="C42" s="77"/>
      <c r="D42" s="77"/>
      <c r="E42" s="101">
        <v>21668197540</v>
      </c>
      <c r="F42" s="101">
        <v>35149417552</v>
      </c>
      <c r="G42" s="101">
        <v>56817615092</v>
      </c>
      <c r="H42" s="97">
        <v>52032</v>
      </c>
    </row>
    <row r="43" spans="1:8" ht="15" customHeight="1">
      <c r="A43" s="85" t="s">
        <v>84</v>
      </c>
      <c r="B43" s="89" t="s">
        <v>79</v>
      </c>
      <c r="C43" s="76"/>
      <c r="D43" s="76"/>
      <c r="E43" s="100">
        <v>7183651202</v>
      </c>
      <c r="F43" s="100">
        <v>10864053261</v>
      </c>
      <c r="G43" s="100">
        <v>18047704463</v>
      </c>
      <c r="H43" s="96">
        <v>14399</v>
      </c>
    </row>
    <row r="44" spans="1:8" ht="15" customHeight="1">
      <c r="A44" s="86" t="s">
        <v>84</v>
      </c>
      <c r="B44" s="90" t="s">
        <v>80</v>
      </c>
      <c r="C44" s="77"/>
      <c r="D44" s="77"/>
      <c r="E44" s="101">
        <v>11466500819</v>
      </c>
      <c r="F44" s="101">
        <v>17763899043</v>
      </c>
      <c r="G44" s="101">
        <v>29230399862</v>
      </c>
      <c r="H44" s="97">
        <v>19325</v>
      </c>
    </row>
    <row r="45" spans="1:8" ht="15" customHeight="1" thickBot="1">
      <c r="A45" s="85" t="s">
        <v>84</v>
      </c>
      <c r="B45" s="89" t="s">
        <v>81</v>
      </c>
      <c r="C45" s="76"/>
      <c r="D45" s="76"/>
      <c r="E45" s="100">
        <v>6572116417</v>
      </c>
      <c r="F45" s="100">
        <v>8810122561</v>
      </c>
      <c r="G45" s="100">
        <v>15382238978</v>
      </c>
      <c r="H45" s="96">
        <v>6836</v>
      </c>
    </row>
    <row r="46" spans="1:8" ht="15" customHeight="1">
      <c r="A46" s="83" t="s">
        <v>15</v>
      </c>
      <c r="B46" s="88" t="s">
        <v>5</v>
      </c>
      <c r="C46" s="75"/>
      <c r="D46" s="75"/>
      <c r="E46" s="99">
        <f>SUM(E47:E59)</f>
        <v>1600324993192</v>
      </c>
      <c r="F46" s="99">
        <f t="shared" ref="F46:H46" si="5">SUM(F47:F59)</f>
        <v>2238411415594</v>
      </c>
      <c r="G46" s="99">
        <f t="shared" si="5"/>
        <v>3838736408786</v>
      </c>
      <c r="H46" s="95">
        <f t="shared" si="5"/>
        <v>2620091</v>
      </c>
    </row>
    <row r="47" spans="1:8" ht="15" customHeight="1">
      <c r="A47" s="85" t="s">
        <v>15</v>
      </c>
      <c r="B47" s="89" t="s">
        <v>21</v>
      </c>
      <c r="C47" s="76">
        <v>0</v>
      </c>
      <c r="D47" s="76"/>
      <c r="E47" s="100">
        <v>966237164030</v>
      </c>
      <c r="F47" s="100">
        <v>1355976102236</v>
      </c>
      <c r="G47" s="100">
        <v>2322213266266</v>
      </c>
      <c r="H47" s="96">
        <v>1647962</v>
      </c>
    </row>
    <row r="48" spans="1:8" ht="15" customHeight="1">
      <c r="A48" s="86" t="s">
        <v>15</v>
      </c>
      <c r="B48" s="90" t="s">
        <v>22</v>
      </c>
      <c r="C48" s="77">
        <v>1</v>
      </c>
      <c r="D48" s="77"/>
      <c r="E48" s="101">
        <v>310403269122</v>
      </c>
      <c r="F48" s="101">
        <v>441861293488</v>
      </c>
      <c r="G48" s="101">
        <v>752264562610</v>
      </c>
      <c r="H48" s="97">
        <v>481617</v>
      </c>
    </row>
    <row r="49" spans="1:8" ht="15" customHeight="1">
      <c r="A49" s="85" t="s">
        <v>15</v>
      </c>
      <c r="B49" s="89" t="s">
        <v>23</v>
      </c>
      <c r="C49" s="76">
        <v>3</v>
      </c>
      <c r="D49" s="76"/>
      <c r="E49" s="100">
        <v>175004253613</v>
      </c>
      <c r="F49" s="100">
        <v>264781812059</v>
      </c>
      <c r="G49" s="100">
        <v>439786065672</v>
      </c>
      <c r="H49" s="96">
        <v>288224</v>
      </c>
    </row>
    <row r="50" spans="1:8" ht="15" customHeight="1">
      <c r="A50" s="86" t="s">
        <v>15</v>
      </c>
      <c r="B50" s="90" t="s">
        <v>24</v>
      </c>
      <c r="C50" s="77">
        <v>6</v>
      </c>
      <c r="D50" s="77"/>
      <c r="E50" s="101">
        <v>86454999761</v>
      </c>
      <c r="F50" s="101">
        <v>98430259536</v>
      </c>
      <c r="G50" s="101">
        <v>184885259297</v>
      </c>
      <c r="H50" s="97">
        <v>95446</v>
      </c>
    </row>
    <row r="51" spans="1:8" ht="15" customHeight="1">
      <c r="A51" s="85" t="s">
        <v>15</v>
      </c>
      <c r="B51" s="89" t="s">
        <v>25</v>
      </c>
      <c r="C51" s="76">
        <v>7</v>
      </c>
      <c r="D51" s="76"/>
      <c r="E51" s="100">
        <v>32862803093</v>
      </c>
      <c r="F51" s="100">
        <v>48887708113</v>
      </c>
      <c r="G51" s="100">
        <v>81750511206</v>
      </c>
      <c r="H51" s="96">
        <v>61275</v>
      </c>
    </row>
    <row r="52" spans="1:8" ht="15" customHeight="1">
      <c r="A52" s="86" t="s">
        <v>15</v>
      </c>
      <c r="B52" s="90" t="s">
        <v>28</v>
      </c>
      <c r="C52" s="77">
        <v>8</v>
      </c>
      <c r="D52" s="77"/>
      <c r="E52" s="101">
        <v>473459780</v>
      </c>
      <c r="F52" s="101">
        <v>458468749</v>
      </c>
      <c r="G52" s="101">
        <v>931928529</v>
      </c>
      <c r="H52" s="97">
        <v>1784</v>
      </c>
    </row>
    <row r="53" spans="1:8" ht="15" customHeight="1">
      <c r="A53" s="85" t="s">
        <v>15</v>
      </c>
      <c r="B53" s="89" t="s">
        <v>26</v>
      </c>
      <c r="C53" s="76">
        <v>9</v>
      </c>
      <c r="D53" s="76"/>
      <c r="E53" s="100">
        <v>3305312468</v>
      </c>
      <c r="F53" s="100">
        <v>3442356530</v>
      </c>
      <c r="G53" s="100">
        <v>6747668998</v>
      </c>
      <c r="H53" s="96">
        <v>2701</v>
      </c>
    </row>
    <row r="54" spans="1:8" ht="15" customHeight="1">
      <c r="A54" s="86" t="s">
        <v>15</v>
      </c>
      <c r="B54" s="90" t="s">
        <v>27</v>
      </c>
      <c r="C54" s="77">
        <v>10</v>
      </c>
      <c r="D54" s="77"/>
      <c r="E54" s="101">
        <v>13216828726</v>
      </c>
      <c r="F54" s="101">
        <v>11336957131</v>
      </c>
      <c r="G54" s="101">
        <v>24553785857</v>
      </c>
      <c r="H54" s="97">
        <v>18045</v>
      </c>
    </row>
    <row r="55" spans="1:8" ht="15" customHeight="1">
      <c r="A55" s="85" t="s">
        <v>15</v>
      </c>
      <c r="B55" s="89" t="s">
        <v>29</v>
      </c>
      <c r="C55" s="76">
        <v>20</v>
      </c>
      <c r="D55" s="76"/>
      <c r="E55" s="100">
        <v>988544683</v>
      </c>
      <c r="F55" s="100">
        <v>1880235425</v>
      </c>
      <c r="G55" s="100">
        <v>2868780108</v>
      </c>
      <c r="H55" s="96">
        <v>5681</v>
      </c>
    </row>
    <row r="56" spans="1:8" ht="15" customHeight="1">
      <c r="A56" s="86" t="s">
        <v>15</v>
      </c>
      <c r="B56" s="90" t="s">
        <v>30</v>
      </c>
      <c r="C56" s="77">
        <v>21</v>
      </c>
      <c r="D56" s="77"/>
      <c r="E56" s="101">
        <v>5224991421</v>
      </c>
      <c r="F56" s="101">
        <v>2616462387</v>
      </c>
      <c r="G56" s="101">
        <v>7841453808</v>
      </c>
      <c r="H56" s="97">
        <v>5710</v>
      </c>
    </row>
    <row r="57" spans="1:8" ht="15" customHeight="1">
      <c r="A57" s="85" t="s">
        <v>15</v>
      </c>
      <c r="B57" s="89" t="s">
        <v>16</v>
      </c>
      <c r="C57" s="76" t="s">
        <v>16</v>
      </c>
      <c r="D57" s="76"/>
      <c r="E57" s="100">
        <v>392406552</v>
      </c>
      <c r="F57" s="100">
        <v>1559097831</v>
      </c>
      <c r="G57" s="100">
        <v>1951504383</v>
      </c>
      <c r="H57" s="96">
        <v>2478</v>
      </c>
    </row>
    <row r="58" spans="1:8" ht="15" customHeight="1">
      <c r="A58" s="86" t="s">
        <v>15</v>
      </c>
      <c r="B58" s="90" t="s">
        <v>17</v>
      </c>
      <c r="C58" s="77" t="s">
        <v>17</v>
      </c>
      <c r="D58" s="77"/>
      <c r="E58" s="101">
        <v>4624039422</v>
      </c>
      <c r="F58" s="101">
        <v>5710080592</v>
      </c>
      <c r="G58" s="101">
        <v>10334120014</v>
      </c>
      <c r="H58" s="97">
        <v>6857</v>
      </c>
    </row>
    <row r="59" spans="1:8" ht="15" customHeight="1" thickBot="1">
      <c r="A59" s="85" t="s">
        <v>15</v>
      </c>
      <c r="B59" s="89" t="s">
        <v>18</v>
      </c>
      <c r="C59" s="76" t="s">
        <v>18</v>
      </c>
      <c r="D59" s="76"/>
      <c r="E59" s="100">
        <v>1136920521</v>
      </c>
      <c r="F59" s="100">
        <v>1470581517</v>
      </c>
      <c r="G59" s="100">
        <v>2607502038</v>
      </c>
      <c r="H59" s="96">
        <v>2311</v>
      </c>
    </row>
    <row r="60" spans="1:8" ht="15" customHeight="1">
      <c r="A60" s="83" t="s">
        <v>56</v>
      </c>
      <c r="B60" s="88" t="s">
        <v>5</v>
      </c>
      <c r="C60" s="75"/>
      <c r="D60" s="75"/>
      <c r="E60" s="99">
        <f>SUM(E61:E177)</f>
        <v>1600324993192</v>
      </c>
      <c r="F60" s="99">
        <f t="shared" ref="F60:H60" si="6">SUM(F61:F177)</f>
        <v>2238411415594</v>
      </c>
      <c r="G60" s="99">
        <f t="shared" si="6"/>
        <v>3838736408786</v>
      </c>
      <c r="H60" s="95">
        <f t="shared" si="6"/>
        <v>3435289</v>
      </c>
    </row>
    <row r="61" spans="1:8" ht="15" customHeight="1">
      <c r="A61" s="85" t="s">
        <v>56</v>
      </c>
      <c r="B61" s="89"/>
      <c r="C61" s="76">
        <v>0</v>
      </c>
      <c r="D61" s="76">
        <v>1</v>
      </c>
      <c r="E61" s="100">
        <v>7871145163</v>
      </c>
      <c r="F61" s="100">
        <v>2249336609</v>
      </c>
      <c r="G61" s="100">
        <v>10120481772</v>
      </c>
      <c r="H61" s="96">
        <v>9836</v>
      </c>
    </row>
    <row r="62" spans="1:8" ht="15" customHeight="1">
      <c r="A62" s="86" t="s">
        <v>56</v>
      </c>
      <c r="B62" s="90"/>
      <c r="C62" s="77">
        <v>0</v>
      </c>
      <c r="D62" s="77">
        <v>2</v>
      </c>
      <c r="E62" s="101">
        <v>102463713072</v>
      </c>
      <c r="F62" s="101">
        <v>93282229586</v>
      </c>
      <c r="G62" s="101">
        <v>195745942658</v>
      </c>
      <c r="H62" s="97">
        <v>126414</v>
      </c>
    </row>
    <row r="63" spans="1:8" ht="15" customHeight="1">
      <c r="A63" s="85" t="s">
        <v>56</v>
      </c>
      <c r="B63" s="89"/>
      <c r="C63" s="76">
        <v>0</v>
      </c>
      <c r="D63" s="76">
        <v>3</v>
      </c>
      <c r="E63" s="100">
        <v>257959942113</v>
      </c>
      <c r="F63" s="100">
        <v>246864528071</v>
      </c>
      <c r="G63" s="100">
        <v>504824470184</v>
      </c>
      <c r="H63" s="96">
        <v>963449</v>
      </c>
    </row>
    <row r="64" spans="1:8" ht="15" customHeight="1">
      <c r="A64" s="86" t="s">
        <v>56</v>
      </c>
      <c r="B64" s="90"/>
      <c r="C64" s="77">
        <v>0</v>
      </c>
      <c r="D64" s="77">
        <v>4</v>
      </c>
      <c r="E64" s="101">
        <v>15658824294</v>
      </c>
      <c r="F64" s="101">
        <v>64874611745</v>
      </c>
      <c r="G64" s="101">
        <v>80533436039</v>
      </c>
      <c r="H64" s="97">
        <v>171368</v>
      </c>
    </row>
    <row r="65" spans="1:8" ht="15" customHeight="1">
      <c r="A65" s="85" t="s">
        <v>56</v>
      </c>
      <c r="B65" s="89"/>
      <c r="C65" s="76">
        <v>0</v>
      </c>
      <c r="D65" s="76">
        <v>5</v>
      </c>
      <c r="E65" s="100">
        <v>101595551597</v>
      </c>
      <c r="F65" s="100">
        <v>206845893635</v>
      </c>
      <c r="G65" s="100">
        <v>308441445232</v>
      </c>
      <c r="H65" s="96">
        <v>33809</v>
      </c>
    </row>
    <row r="66" spans="1:8" ht="15" customHeight="1">
      <c r="A66" s="86" t="s">
        <v>56</v>
      </c>
      <c r="B66" s="90"/>
      <c r="C66" s="77">
        <v>0</v>
      </c>
      <c r="D66" s="77">
        <v>6</v>
      </c>
      <c r="E66" s="101">
        <v>3439054736</v>
      </c>
      <c r="F66" s="101">
        <v>3673434396</v>
      </c>
      <c r="G66" s="101">
        <v>7112489132</v>
      </c>
      <c r="H66" s="97">
        <v>3676</v>
      </c>
    </row>
    <row r="67" spans="1:8" ht="15" customHeight="1">
      <c r="A67" s="85" t="s">
        <v>56</v>
      </c>
      <c r="B67" s="89"/>
      <c r="C67" s="76">
        <v>0</v>
      </c>
      <c r="D67" s="76">
        <v>7</v>
      </c>
      <c r="E67" s="100">
        <v>12137688342</v>
      </c>
      <c r="F67" s="100">
        <v>25585173045</v>
      </c>
      <c r="G67" s="100">
        <v>37722861387</v>
      </c>
      <c r="H67" s="96">
        <v>3873</v>
      </c>
    </row>
    <row r="68" spans="1:8" ht="15" customHeight="1">
      <c r="A68" s="86" t="s">
        <v>56</v>
      </c>
      <c r="B68" s="90"/>
      <c r="C68" s="77">
        <v>0</v>
      </c>
      <c r="D68" s="77">
        <v>8</v>
      </c>
      <c r="E68" s="101">
        <v>331380883452</v>
      </c>
      <c r="F68" s="101">
        <v>567833985747</v>
      </c>
      <c r="G68" s="101">
        <v>899214869199</v>
      </c>
      <c r="H68" s="97">
        <v>864205</v>
      </c>
    </row>
    <row r="69" spans="1:8" ht="15" customHeight="1">
      <c r="A69" s="85" t="s">
        <v>56</v>
      </c>
      <c r="B69" s="89"/>
      <c r="C69" s="76">
        <v>0</v>
      </c>
      <c r="D69" s="76">
        <v>9</v>
      </c>
      <c r="E69" s="100">
        <v>133730361261</v>
      </c>
      <c r="F69" s="100">
        <v>144766909402</v>
      </c>
      <c r="G69" s="100">
        <v>278497270663</v>
      </c>
      <c r="H69" s="96">
        <v>28582</v>
      </c>
    </row>
    <row r="70" spans="1:8" ht="15" customHeight="1">
      <c r="A70" s="86" t="s">
        <v>56</v>
      </c>
      <c r="B70" s="90"/>
      <c r="C70" s="77">
        <v>1</v>
      </c>
      <c r="D70" s="77">
        <v>1</v>
      </c>
      <c r="E70" s="101">
        <v>2520908033</v>
      </c>
      <c r="F70" s="101">
        <v>805404070</v>
      </c>
      <c r="G70" s="101">
        <v>3326312103</v>
      </c>
      <c r="H70" s="97">
        <v>2684</v>
      </c>
    </row>
    <row r="71" spans="1:8" ht="15" customHeight="1">
      <c r="A71" s="85" t="s">
        <v>56</v>
      </c>
      <c r="B71" s="89"/>
      <c r="C71" s="76">
        <v>1</v>
      </c>
      <c r="D71" s="76">
        <v>2</v>
      </c>
      <c r="E71" s="100">
        <v>27490754255</v>
      </c>
      <c r="F71" s="100">
        <v>22318055650</v>
      </c>
      <c r="G71" s="100">
        <v>49808809905</v>
      </c>
      <c r="H71" s="96">
        <v>32119</v>
      </c>
    </row>
    <row r="72" spans="1:8" ht="15" customHeight="1">
      <c r="A72" s="86" t="s">
        <v>56</v>
      </c>
      <c r="B72" s="90"/>
      <c r="C72" s="77">
        <v>1</v>
      </c>
      <c r="D72" s="77">
        <v>3</v>
      </c>
      <c r="E72" s="101">
        <v>74301526238</v>
      </c>
      <c r="F72" s="101">
        <v>85896180153</v>
      </c>
      <c r="G72" s="101">
        <v>160197706391</v>
      </c>
      <c r="H72" s="97">
        <v>253413</v>
      </c>
    </row>
    <row r="73" spans="1:8" ht="15" customHeight="1">
      <c r="A73" s="85" t="s">
        <v>56</v>
      </c>
      <c r="B73" s="89"/>
      <c r="C73" s="76">
        <v>1</v>
      </c>
      <c r="D73" s="76">
        <v>4</v>
      </c>
      <c r="E73" s="100">
        <v>6494049835</v>
      </c>
      <c r="F73" s="100">
        <v>30357764983</v>
      </c>
      <c r="G73" s="100">
        <v>36851814818</v>
      </c>
      <c r="H73" s="96">
        <v>63420</v>
      </c>
    </row>
    <row r="74" spans="1:8" ht="15" customHeight="1">
      <c r="A74" s="86" t="s">
        <v>56</v>
      </c>
      <c r="B74" s="90"/>
      <c r="C74" s="77">
        <v>1</v>
      </c>
      <c r="D74" s="77">
        <v>5</v>
      </c>
      <c r="E74" s="101">
        <v>37530711598</v>
      </c>
      <c r="F74" s="101">
        <v>69520676731</v>
      </c>
      <c r="G74" s="101">
        <v>107051388329</v>
      </c>
      <c r="H74" s="97">
        <v>7222</v>
      </c>
    </row>
    <row r="75" spans="1:8" ht="15" customHeight="1">
      <c r="A75" s="85" t="s">
        <v>56</v>
      </c>
      <c r="B75" s="89"/>
      <c r="C75" s="76">
        <v>1</v>
      </c>
      <c r="D75" s="76">
        <v>6</v>
      </c>
      <c r="E75" s="100">
        <v>1000823193</v>
      </c>
      <c r="F75" s="100">
        <v>1188509466</v>
      </c>
      <c r="G75" s="100">
        <v>2189332659</v>
      </c>
      <c r="H75" s="96">
        <v>1080</v>
      </c>
    </row>
    <row r="76" spans="1:8" ht="15" customHeight="1">
      <c r="A76" s="86" t="s">
        <v>56</v>
      </c>
      <c r="B76" s="90"/>
      <c r="C76" s="77">
        <v>1</v>
      </c>
      <c r="D76" s="77">
        <v>7</v>
      </c>
      <c r="E76" s="101">
        <v>4129296241</v>
      </c>
      <c r="F76" s="101">
        <v>9734770295</v>
      </c>
      <c r="G76" s="101">
        <v>13864066536</v>
      </c>
      <c r="H76" s="97">
        <v>994</v>
      </c>
    </row>
    <row r="77" spans="1:8" ht="15" customHeight="1">
      <c r="A77" s="85" t="s">
        <v>56</v>
      </c>
      <c r="B77" s="89"/>
      <c r="C77" s="76">
        <v>1</v>
      </c>
      <c r="D77" s="76">
        <v>8</v>
      </c>
      <c r="E77" s="100">
        <v>107080733206</v>
      </c>
      <c r="F77" s="100">
        <v>171649495063</v>
      </c>
      <c r="G77" s="100">
        <v>278730228269</v>
      </c>
      <c r="H77" s="96">
        <v>262111</v>
      </c>
    </row>
    <row r="78" spans="1:8" ht="15" customHeight="1">
      <c r="A78" s="86" t="s">
        <v>56</v>
      </c>
      <c r="B78" s="90"/>
      <c r="C78" s="77">
        <v>1</v>
      </c>
      <c r="D78" s="77">
        <v>9</v>
      </c>
      <c r="E78" s="101">
        <v>49854466523</v>
      </c>
      <c r="F78" s="101">
        <v>50390437077</v>
      </c>
      <c r="G78" s="101">
        <v>100244903600</v>
      </c>
      <c r="H78" s="97">
        <v>6495</v>
      </c>
    </row>
    <row r="79" spans="1:8" ht="15" customHeight="1">
      <c r="A79" s="85" t="s">
        <v>56</v>
      </c>
      <c r="B79" s="89"/>
      <c r="C79" s="76">
        <v>3</v>
      </c>
      <c r="D79" s="76">
        <v>1</v>
      </c>
      <c r="E79" s="100">
        <v>704552988</v>
      </c>
      <c r="F79" s="100">
        <v>299391388</v>
      </c>
      <c r="G79" s="100">
        <v>1003944376</v>
      </c>
      <c r="H79" s="96">
        <v>996</v>
      </c>
    </row>
    <row r="80" spans="1:8" ht="15" customHeight="1">
      <c r="A80" s="86" t="s">
        <v>56</v>
      </c>
      <c r="B80" s="90"/>
      <c r="C80" s="77">
        <v>3</v>
      </c>
      <c r="D80" s="77">
        <v>2</v>
      </c>
      <c r="E80" s="101">
        <v>14621160976</v>
      </c>
      <c r="F80" s="101">
        <v>10523364294</v>
      </c>
      <c r="G80" s="101">
        <v>25144525270</v>
      </c>
      <c r="H80" s="97">
        <v>15943</v>
      </c>
    </row>
    <row r="81" spans="1:8" ht="15" customHeight="1">
      <c r="A81" s="85" t="s">
        <v>56</v>
      </c>
      <c r="B81" s="89"/>
      <c r="C81" s="76">
        <v>3</v>
      </c>
      <c r="D81" s="76">
        <v>3</v>
      </c>
      <c r="E81" s="100">
        <v>41200165222</v>
      </c>
      <c r="F81" s="100">
        <v>52406062093</v>
      </c>
      <c r="G81" s="100">
        <v>93606227315</v>
      </c>
      <c r="H81" s="96">
        <v>151153</v>
      </c>
    </row>
    <row r="82" spans="1:8" ht="15" customHeight="1">
      <c r="A82" s="86" t="s">
        <v>56</v>
      </c>
      <c r="B82" s="90"/>
      <c r="C82" s="77">
        <v>3</v>
      </c>
      <c r="D82" s="77">
        <v>4</v>
      </c>
      <c r="E82" s="101">
        <v>4323083622</v>
      </c>
      <c r="F82" s="101">
        <v>26330734458</v>
      </c>
      <c r="G82" s="101">
        <v>30653818080</v>
      </c>
      <c r="H82" s="97">
        <v>42567</v>
      </c>
    </row>
    <row r="83" spans="1:8" ht="15" customHeight="1">
      <c r="A83" s="85" t="s">
        <v>56</v>
      </c>
      <c r="B83" s="89"/>
      <c r="C83" s="76">
        <v>3</v>
      </c>
      <c r="D83" s="76">
        <v>5</v>
      </c>
      <c r="E83" s="100">
        <v>24289941132</v>
      </c>
      <c r="F83" s="100">
        <v>48848404814</v>
      </c>
      <c r="G83" s="100">
        <v>73138345946</v>
      </c>
      <c r="H83" s="96">
        <v>3646</v>
      </c>
    </row>
    <row r="84" spans="1:8" ht="15" customHeight="1">
      <c r="A84" s="86" t="s">
        <v>56</v>
      </c>
      <c r="B84" s="90"/>
      <c r="C84" s="77">
        <v>3</v>
      </c>
      <c r="D84" s="77">
        <v>6</v>
      </c>
      <c r="E84" s="101">
        <v>373653092</v>
      </c>
      <c r="F84" s="101">
        <v>657194283</v>
      </c>
      <c r="G84" s="101">
        <v>1030847375</v>
      </c>
      <c r="H84" s="97">
        <v>529</v>
      </c>
    </row>
    <row r="85" spans="1:8" ht="15" customHeight="1">
      <c r="A85" s="85" t="s">
        <v>56</v>
      </c>
      <c r="B85" s="89"/>
      <c r="C85" s="76">
        <v>3</v>
      </c>
      <c r="D85" s="76">
        <v>7</v>
      </c>
      <c r="E85" s="100">
        <v>4200368976</v>
      </c>
      <c r="F85" s="100">
        <v>6772145676</v>
      </c>
      <c r="G85" s="100">
        <v>10972514652</v>
      </c>
      <c r="H85" s="96">
        <v>502</v>
      </c>
    </row>
    <row r="86" spans="1:8" ht="15" customHeight="1">
      <c r="A86" s="86" t="s">
        <v>56</v>
      </c>
      <c r="B86" s="90"/>
      <c r="C86" s="77">
        <v>3</v>
      </c>
      <c r="D86" s="77">
        <v>8</v>
      </c>
      <c r="E86" s="101">
        <v>53141725467</v>
      </c>
      <c r="F86" s="101">
        <v>93945496411</v>
      </c>
      <c r="G86" s="101">
        <v>147087221878</v>
      </c>
      <c r="H86" s="97">
        <v>146641</v>
      </c>
    </row>
    <row r="87" spans="1:8" ht="15" customHeight="1">
      <c r="A87" s="85" t="s">
        <v>56</v>
      </c>
      <c r="B87" s="89"/>
      <c r="C87" s="76">
        <v>3</v>
      </c>
      <c r="D87" s="76">
        <v>9</v>
      </c>
      <c r="E87" s="100">
        <v>32149602138</v>
      </c>
      <c r="F87" s="100">
        <v>24999018642</v>
      </c>
      <c r="G87" s="100">
        <v>57148620780</v>
      </c>
      <c r="H87" s="96">
        <v>2427</v>
      </c>
    </row>
    <row r="88" spans="1:8" ht="15" customHeight="1">
      <c r="A88" s="86" t="s">
        <v>56</v>
      </c>
      <c r="B88" s="90"/>
      <c r="C88" s="77">
        <v>6</v>
      </c>
      <c r="D88" s="77">
        <v>1</v>
      </c>
      <c r="E88" s="101">
        <v>677485268</v>
      </c>
      <c r="F88" s="101">
        <v>176242512</v>
      </c>
      <c r="G88" s="101">
        <v>853727780</v>
      </c>
      <c r="H88" s="97">
        <v>376</v>
      </c>
    </row>
    <row r="89" spans="1:8" ht="15" customHeight="1">
      <c r="A89" s="85" t="s">
        <v>56</v>
      </c>
      <c r="B89" s="89"/>
      <c r="C89" s="76">
        <v>6</v>
      </c>
      <c r="D89" s="76">
        <v>2</v>
      </c>
      <c r="E89" s="100">
        <v>8362887379</v>
      </c>
      <c r="F89" s="100">
        <v>5552040715</v>
      </c>
      <c r="G89" s="100">
        <v>13914928094</v>
      </c>
      <c r="H89" s="96">
        <v>6929</v>
      </c>
    </row>
    <row r="90" spans="1:8" ht="15" customHeight="1">
      <c r="A90" s="86" t="s">
        <v>56</v>
      </c>
      <c r="B90" s="90"/>
      <c r="C90" s="77">
        <v>6</v>
      </c>
      <c r="D90" s="77">
        <v>3</v>
      </c>
      <c r="E90" s="101">
        <v>29825359239</v>
      </c>
      <c r="F90" s="101">
        <v>40884745869</v>
      </c>
      <c r="G90" s="101">
        <v>70710105108</v>
      </c>
      <c r="H90" s="97">
        <v>84823</v>
      </c>
    </row>
    <row r="91" spans="1:8" ht="15" customHeight="1">
      <c r="A91" s="85" t="s">
        <v>56</v>
      </c>
      <c r="B91" s="89"/>
      <c r="C91" s="76">
        <v>6</v>
      </c>
      <c r="D91" s="76">
        <v>4</v>
      </c>
      <c r="E91" s="100">
        <v>342316571</v>
      </c>
      <c r="F91" s="100">
        <v>671323727</v>
      </c>
      <c r="G91" s="100">
        <v>1013640298</v>
      </c>
      <c r="H91" s="96">
        <v>1156</v>
      </c>
    </row>
    <row r="92" spans="1:8" ht="15" customHeight="1">
      <c r="A92" s="86" t="s">
        <v>56</v>
      </c>
      <c r="B92" s="90"/>
      <c r="C92" s="77">
        <v>6</v>
      </c>
      <c r="D92" s="77">
        <v>5</v>
      </c>
      <c r="E92" s="101">
        <v>8055953054</v>
      </c>
      <c r="F92" s="101">
        <v>16999852511</v>
      </c>
      <c r="G92" s="101">
        <v>25055805565</v>
      </c>
      <c r="H92" s="97">
        <v>509</v>
      </c>
    </row>
    <row r="93" spans="1:8" ht="15" customHeight="1">
      <c r="A93" s="85" t="s">
        <v>56</v>
      </c>
      <c r="B93" s="89"/>
      <c r="C93" s="76">
        <v>6</v>
      </c>
      <c r="D93" s="76">
        <v>6</v>
      </c>
      <c r="E93" s="100">
        <v>455478101</v>
      </c>
      <c r="F93" s="100">
        <v>695277250</v>
      </c>
      <c r="G93" s="100">
        <v>1150755351</v>
      </c>
      <c r="H93" s="96">
        <v>255</v>
      </c>
    </row>
    <row r="94" spans="1:8" ht="15" customHeight="1">
      <c r="A94" s="86" t="s">
        <v>56</v>
      </c>
      <c r="B94" s="90"/>
      <c r="C94" s="77">
        <v>6</v>
      </c>
      <c r="D94" s="77">
        <v>7</v>
      </c>
      <c r="E94" s="101">
        <v>4157341782</v>
      </c>
      <c r="F94" s="101">
        <v>5869557090</v>
      </c>
      <c r="G94" s="101">
        <v>10026898872</v>
      </c>
      <c r="H94" s="97">
        <v>176</v>
      </c>
    </row>
    <row r="95" spans="1:8" ht="15" customHeight="1">
      <c r="A95" s="85" t="s">
        <v>56</v>
      </c>
      <c r="B95" s="89"/>
      <c r="C95" s="76">
        <v>6</v>
      </c>
      <c r="D95" s="76">
        <v>8</v>
      </c>
      <c r="E95" s="100">
        <v>7072861493</v>
      </c>
      <c r="F95" s="100">
        <v>9465595345</v>
      </c>
      <c r="G95" s="100">
        <v>16538456838</v>
      </c>
      <c r="H95" s="96">
        <v>13542</v>
      </c>
    </row>
    <row r="96" spans="1:8" ht="15" customHeight="1">
      <c r="A96" s="86" t="s">
        <v>56</v>
      </c>
      <c r="B96" s="90"/>
      <c r="C96" s="77">
        <v>6</v>
      </c>
      <c r="D96" s="77">
        <v>9</v>
      </c>
      <c r="E96" s="101">
        <v>27505316874</v>
      </c>
      <c r="F96" s="101">
        <v>18115624517</v>
      </c>
      <c r="G96" s="101">
        <v>45620941391</v>
      </c>
      <c r="H96" s="97">
        <v>708</v>
      </c>
    </row>
    <row r="97" spans="1:8" ht="15" customHeight="1">
      <c r="A97" s="85" t="s">
        <v>56</v>
      </c>
      <c r="B97" s="89"/>
      <c r="C97" s="76">
        <v>7</v>
      </c>
      <c r="D97" s="76">
        <v>1</v>
      </c>
      <c r="E97" s="100">
        <v>496253216</v>
      </c>
      <c r="F97" s="100">
        <v>85605122</v>
      </c>
      <c r="G97" s="100">
        <v>581858338</v>
      </c>
      <c r="H97" s="96">
        <v>3470</v>
      </c>
    </row>
    <row r="98" spans="1:8" ht="15" customHeight="1">
      <c r="A98" s="86" t="s">
        <v>56</v>
      </c>
      <c r="B98" s="90"/>
      <c r="C98" s="77">
        <v>7</v>
      </c>
      <c r="D98" s="77">
        <v>2</v>
      </c>
      <c r="E98" s="101">
        <v>3974522725</v>
      </c>
      <c r="F98" s="101">
        <v>2261219568</v>
      </c>
      <c r="G98" s="101">
        <v>6235742293</v>
      </c>
      <c r="H98" s="97">
        <v>5409</v>
      </c>
    </row>
    <row r="99" spans="1:8" ht="15" customHeight="1">
      <c r="A99" s="85" t="s">
        <v>56</v>
      </c>
      <c r="B99" s="89"/>
      <c r="C99" s="76">
        <v>7</v>
      </c>
      <c r="D99" s="76">
        <v>3</v>
      </c>
      <c r="E99" s="100">
        <v>6888043687</v>
      </c>
      <c r="F99" s="100">
        <v>5246428163</v>
      </c>
      <c r="G99" s="100">
        <v>12134471850</v>
      </c>
      <c r="H99" s="96">
        <v>45418</v>
      </c>
    </row>
    <row r="100" spans="1:8" ht="15" customHeight="1">
      <c r="A100" s="86" t="s">
        <v>56</v>
      </c>
      <c r="B100" s="90"/>
      <c r="C100" s="77">
        <v>7</v>
      </c>
      <c r="D100" s="77">
        <v>4</v>
      </c>
      <c r="E100" s="101">
        <v>87134051</v>
      </c>
      <c r="F100" s="101">
        <v>33836188</v>
      </c>
      <c r="G100" s="101">
        <v>120970239</v>
      </c>
      <c r="H100" s="97">
        <v>170</v>
      </c>
    </row>
    <row r="101" spans="1:8" ht="15" customHeight="1">
      <c r="A101" s="85" t="s">
        <v>56</v>
      </c>
      <c r="B101" s="89"/>
      <c r="C101" s="76">
        <v>7</v>
      </c>
      <c r="D101" s="76">
        <v>5</v>
      </c>
      <c r="E101" s="100">
        <v>15107652591</v>
      </c>
      <c r="F101" s="100">
        <v>38053678136</v>
      </c>
      <c r="G101" s="100">
        <v>53161330727</v>
      </c>
      <c r="H101" s="96">
        <v>14156</v>
      </c>
    </row>
    <row r="102" spans="1:8" ht="15" customHeight="1">
      <c r="A102" s="86" t="s">
        <v>56</v>
      </c>
      <c r="B102" s="90"/>
      <c r="C102" s="77">
        <v>7</v>
      </c>
      <c r="D102" s="77">
        <v>6</v>
      </c>
      <c r="E102" s="101">
        <v>25923673</v>
      </c>
      <c r="F102" s="101">
        <v>1952578</v>
      </c>
      <c r="G102" s="101">
        <v>27876251</v>
      </c>
      <c r="H102" s="97">
        <v>128</v>
      </c>
    </row>
    <row r="103" spans="1:8" ht="15" customHeight="1">
      <c r="A103" s="85" t="s">
        <v>56</v>
      </c>
      <c r="B103" s="89"/>
      <c r="C103" s="76">
        <v>7</v>
      </c>
      <c r="D103" s="76">
        <v>7</v>
      </c>
      <c r="E103" s="100">
        <v>325997433</v>
      </c>
      <c r="F103" s="100">
        <v>219040565</v>
      </c>
      <c r="G103" s="100">
        <v>545037998</v>
      </c>
      <c r="H103" s="96">
        <v>136</v>
      </c>
    </row>
    <row r="104" spans="1:8" ht="15" customHeight="1">
      <c r="A104" s="86" t="s">
        <v>56</v>
      </c>
      <c r="B104" s="90"/>
      <c r="C104" s="77">
        <v>7</v>
      </c>
      <c r="D104" s="77">
        <v>8</v>
      </c>
      <c r="E104" s="101">
        <v>176521615</v>
      </c>
      <c r="F104" s="101">
        <v>1159834444</v>
      </c>
      <c r="G104" s="101">
        <v>1336356059</v>
      </c>
      <c r="H104" s="97">
        <v>1292</v>
      </c>
    </row>
    <row r="105" spans="1:8" ht="15" customHeight="1">
      <c r="A105" s="85" t="s">
        <v>56</v>
      </c>
      <c r="B105" s="89"/>
      <c r="C105" s="76">
        <v>7</v>
      </c>
      <c r="D105" s="76">
        <v>9</v>
      </c>
      <c r="E105" s="100">
        <v>5780754102</v>
      </c>
      <c r="F105" s="100">
        <v>1826113349</v>
      </c>
      <c r="G105" s="100">
        <v>7606867451</v>
      </c>
      <c r="H105" s="96">
        <v>2343</v>
      </c>
    </row>
    <row r="106" spans="1:8" ht="15" customHeight="1">
      <c r="A106" s="86" t="s">
        <v>56</v>
      </c>
      <c r="B106" s="90"/>
      <c r="C106" s="77">
        <v>8</v>
      </c>
      <c r="D106" s="77">
        <v>1</v>
      </c>
      <c r="E106" s="101">
        <v>8096202</v>
      </c>
      <c r="F106" s="101">
        <v>0</v>
      </c>
      <c r="G106" s="101">
        <v>8096202</v>
      </c>
      <c r="H106" s="97">
        <v>6</v>
      </c>
    </row>
    <row r="107" spans="1:8" ht="15" customHeight="1">
      <c r="A107" s="85" t="s">
        <v>56</v>
      </c>
      <c r="B107" s="89"/>
      <c r="C107" s="76">
        <v>8</v>
      </c>
      <c r="D107" s="76">
        <v>2</v>
      </c>
      <c r="E107" s="100">
        <v>52347389</v>
      </c>
      <c r="F107" s="100">
        <v>22914960</v>
      </c>
      <c r="G107" s="100">
        <v>75262349</v>
      </c>
      <c r="H107" s="96">
        <v>107</v>
      </c>
    </row>
    <row r="108" spans="1:8" ht="15" customHeight="1">
      <c r="A108" s="86" t="s">
        <v>56</v>
      </c>
      <c r="B108" s="90"/>
      <c r="C108" s="77">
        <v>8</v>
      </c>
      <c r="D108" s="77">
        <v>3</v>
      </c>
      <c r="E108" s="101">
        <v>381196775</v>
      </c>
      <c r="F108" s="101">
        <v>326902834</v>
      </c>
      <c r="G108" s="101">
        <v>708099609</v>
      </c>
      <c r="H108" s="97">
        <v>1742</v>
      </c>
    </row>
    <row r="109" spans="1:8" ht="15" customHeight="1">
      <c r="A109" s="85" t="s">
        <v>56</v>
      </c>
      <c r="B109" s="89"/>
      <c r="C109" s="76">
        <v>8</v>
      </c>
      <c r="D109" s="76">
        <v>4</v>
      </c>
      <c r="E109" s="100">
        <v>0</v>
      </c>
      <c r="F109" s="100">
        <v>0</v>
      </c>
      <c r="G109" s="100">
        <v>0</v>
      </c>
      <c r="H109" s="96">
        <v>1</v>
      </c>
    </row>
    <row r="110" spans="1:8" ht="15" customHeight="1">
      <c r="A110" s="86" t="s">
        <v>56</v>
      </c>
      <c r="B110" s="90"/>
      <c r="C110" s="77">
        <v>8</v>
      </c>
      <c r="D110" s="77">
        <v>5</v>
      </c>
      <c r="E110" s="101">
        <v>700000</v>
      </c>
      <c r="F110" s="101">
        <v>40859620</v>
      </c>
      <c r="G110" s="101">
        <v>41559620</v>
      </c>
      <c r="H110" s="97">
        <v>4</v>
      </c>
    </row>
    <row r="111" spans="1:8" ht="15" customHeight="1">
      <c r="A111" s="85" t="s">
        <v>56</v>
      </c>
      <c r="B111" s="89"/>
      <c r="C111" s="76">
        <v>8</v>
      </c>
      <c r="D111" s="76">
        <v>6</v>
      </c>
      <c r="E111" s="100">
        <v>15783056</v>
      </c>
      <c r="F111" s="100">
        <v>15700000</v>
      </c>
      <c r="G111" s="100">
        <v>31483056</v>
      </c>
      <c r="H111" s="96">
        <v>3</v>
      </c>
    </row>
    <row r="112" spans="1:8" ht="15" customHeight="1">
      <c r="A112" s="86" t="s">
        <v>56</v>
      </c>
      <c r="B112" s="90"/>
      <c r="C112" s="77">
        <v>8</v>
      </c>
      <c r="D112" s="77">
        <v>7</v>
      </c>
      <c r="E112" s="101">
        <v>0</v>
      </c>
      <c r="F112" s="101">
        <v>36359900</v>
      </c>
      <c r="G112" s="101">
        <v>36359900</v>
      </c>
      <c r="H112" s="97">
        <v>4</v>
      </c>
    </row>
    <row r="113" spans="1:8" ht="15" customHeight="1">
      <c r="A113" s="85" t="s">
        <v>56</v>
      </c>
      <c r="B113" s="89"/>
      <c r="C113" s="76">
        <v>8</v>
      </c>
      <c r="D113" s="76">
        <v>8</v>
      </c>
      <c r="E113" s="100">
        <v>6552358</v>
      </c>
      <c r="F113" s="100">
        <v>4094612</v>
      </c>
      <c r="G113" s="100">
        <v>10646970</v>
      </c>
      <c r="H113" s="96">
        <v>49</v>
      </c>
    </row>
    <row r="114" spans="1:8" ht="15" customHeight="1">
      <c r="A114" s="86" t="s">
        <v>56</v>
      </c>
      <c r="B114" s="90"/>
      <c r="C114" s="77">
        <v>8</v>
      </c>
      <c r="D114" s="77">
        <v>9</v>
      </c>
      <c r="E114" s="101">
        <v>8784000</v>
      </c>
      <c r="F114" s="101">
        <v>11636823</v>
      </c>
      <c r="G114" s="101">
        <v>20420823</v>
      </c>
      <c r="H114" s="97">
        <v>4</v>
      </c>
    </row>
    <row r="115" spans="1:8" ht="15" customHeight="1">
      <c r="A115" s="85" t="s">
        <v>56</v>
      </c>
      <c r="B115" s="89"/>
      <c r="C115" s="76">
        <v>9</v>
      </c>
      <c r="D115" s="76">
        <v>1</v>
      </c>
      <c r="E115" s="100">
        <v>524999</v>
      </c>
      <c r="F115" s="100">
        <v>0</v>
      </c>
      <c r="G115" s="100">
        <v>524999</v>
      </c>
      <c r="H115" s="96">
        <v>3</v>
      </c>
    </row>
    <row r="116" spans="1:8" ht="15" customHeight="1">
      <c r="A116" s="86" t="s">
        <v>56</v>
      </c>
      <c r="B116" s="90"/>
      <c r="C116" s="77">
        <v>9</v>
      </c>
      <c r="D116" s="77">
        <v>2</v>
      </c>
      <c r="E116" s="101">
        <v>61169330</v>
      </c>
      <c r="F116" s="101">
        <v>53459234</v>
      </c>
      <c r="G116" s="101">
        <v>114628564</v>
      </c>
      <c r="H116" s="97">
        <v>119</v>
      </c>
    </row>
    <row r="117" spans="1:8" ht="15" customHeight="1">
      <c r="A117" s="85" t="s">
        <v>56</v>
      </c>
      <c r="B117" s="89"/>
      <c r="C117" s="76">
        <v>9</v>
      </c>
      <c r="D117" s="76">
        <v>3</v>
      </c>
      <c r="E117" s="100">
        <v>908284852</v>
      </c>
      <c r="F117" s="100">
        <v>1247068055</v>
      </c>
      <c r="G117" s="100">
        <v>2155352907</v>
      </c>
      <c r="H117" s="96">
        <v>2526</v>
      </c>
    </row>
    <row r="118" spans="1:8" ht="15" customHeight="1">
      <c r="A118" s="86" t="s">
        <v>56</v>
      </c>
      <c r="B118" s="90"/>
      <c r="C118" s="77">
        <v>9</v>
      </c>
      <c r="D118" s="77">
        <v>4</v>
      </c>
      <c r="E118" s="101">
        <v>4374402</v>
      </c>
      <c r="F118" s="101">
        <v>2861004</v>
      </c>
      <c r="G118" s="101">
        <v>7235406</v>
      </c>
      <c r="H118" s="97">
        <v>11</v>
      </c>
    </row>
    <row r="119" spans="1:8" ht="15" customHeight="1">
      <c r="A119" s="85" t="s">
        <v>56</v>
      </c>
      <c r="B119" s="89"/>
      <c r="C119" s="76">
        <v>9</v>
      </c>
      <c r="D119" s="76">
        <v>5</v>
      </c>
      <c r="E119" s="100">
        <v>71983727</v>
      </c>
      <c r="F119" s="100">
        <v>4135973</v>
      </c>
      <c r="G119" s="100">
        <v>76119700</v>
      </c>
      <c r="H119" s="96">
        <v>7</v>
      </c>
    </row>
    <row r="120" spans="1:8" ht="15" customHeight="1">
      <c r="A120" s="86" t="s">
        <v>56</v>
      </c>
      <c r="B120" s="90"/>
      <c r="C120" s="77">
        <v>9</v>
      </c>
      <c r="D120" s="77">
        <v>6</v>
      </c>
      <c r="E120" s="101">
        <v>537447579</v>
      </c>
      <c r="F120" s="101">
        <v>411437459</v>
      </c>
      <c r="G120" s="101">
        <v>948885038</v>
      </c>
      <c r="H120" s="97">
        <v>141</v>
      </c>
    </row>
    <row r="121" spans="1:8" ht="15" customHeight="1">
      <c r="A121" s="85" t="s">
        <v>56</v>
      </c>
      <c r="B121" s="89"/>
      <c r="C121" s="76">
        <v>9</v>
      </c>
      <c r="D121" s="76">
        <v>7</v>
      </c>
      <c r="E121" s="100">
        <v>1664263413</v>
      </c>
      <c r="F121" s="100">
        <v>1722492976</v>
      </c>
      <c r="G121" s="100">
        <v>3386756389</v>
      </c>
      <c r="H121" s="96">
        <v>41</v>
      </c>
    </row>
    <row r="122" spans="1:8" ht="15" customHeight="1">
      <c r="A122" s="86" t="s">
        <v>56</v>
      </c>
      <c r="B122" s="90"/>
      <c r="C122" s="77">
        <v>9</v>
      </c>
      <c r="D122" s="77">
        <v>8</v>
      </c>
      <c r="E122" s="101">
        <v>3851291</v>
      </c>
      <c r="F122" s="101">
        <v>1829</v>
      </c>
      <c r="G122" s="101">
        <v>3853120</v>
      </c>
      <c r="H122" s="97">
        <v>30</v>
      </c>
    </row>
    <row r="123" spans="1:8" ht="15" customHeight="1">
      <c r="A123" s="85" t="s">
        <v>56</v>
      </c>
      <c r="B123" s="89"/>
      <c r="C123" s="76">
        <v>9</v>
      </c>
      <c r="D123" s="76">
        <v>9</v>
      </c>
      <c r="E123" s="100">
        <v>53412875</v>
      </c>
      <c r="F123" s="100">
        <v>900000</v>
      </c>
      <c r="G123" s="100">
        <v>54312875</v>
      </c>
      <c r="H123" s="96">
        <v>4</v>
      </c>
    </row>
    <row r="124" spans="1:8" ht="15" customHeight="1">
      <c r="A124" s="86" t="s">
        <v>56</v>
      </c>
      <c r="B124" s="90"/>
      <c r="C124" s="77">
        <v>10</v>
      </c>
      <c r="D124" s="77">
        <v>1</v>
      </c>
      <c r="E124" s="101">
        <v>49430805</v>
      </c>
      <c r="F124" s="101">
        <v>11663150</v>
      </c>
      <c r="G124" s="101">
        <v>61093955</v>
      </c>
      <c r="H124" s="97">
        <v>68</v>
      </c>
    </row>
    <row r="125" spans="1:8" ht="15" customHeight="1">
      <c r="A125" s="85" t="s">
        <v>56</v>
      </c>
      <c r="B125" s="89"/>
      <c r="C125" s="76">
        <v>10</v>
      </c>
      <c r="D125" s="76">
        <v>2</v>
      </c>
      <c r="E125" s="100">
        <v>1153231390</v>
      </c>
      <c r="F125" s="100">
        <v>247397910</v>
      </c>
      <c r="G125" s="100">
        <v>1400629300</v>
      </c>
      <c r="H125" s="96">
        <v>1014</v>
      </c>
    </row>
    <row r="126" spans="1:8" ht="15" customHeight="1">
      <c r="A126" s="86" t="s">
        <v>56</v>
      </c>
      <c r="B126" s="90"/>
      <c r="C126" s="77">
        <v>10</v>
      </c>
      <c r="D126" s="77">
        <v>3</v>
      </c>
      <c r="E126" s="101">
        <v>4647749388</v>
      </c>
      <c r="F126" s="101">
        <v>3554460172</v>
      </c>
      <c r="G126" s="101">
        <v>8202209560</v>
      </c>
      <c r="H126" s="97">
        <v>17056</v>
      </c>
    </row>
    <row r="127" spans="1:8" ht="15" customHeight="1">
      <c r="A127" s="85" t="s">
        <v>56</v>
      </c>
      <c r="B127" s="89"/>
      <c r="C127" s="76">
        <v>10</v>
      </c>
      <c r="D127" s="76">
        <v>4</v>
      </c>
      <c r="E127" s="100">
        <v>122155093</v>
      </c>
      <c r="F127" s="100">
        <v>244320764</v>
      </c>
      <c r="G127" s="100">
        <v>366475857</v>
      </c>
      <c r="H127" s="96">
        <v>311</v>
      </c>
    </row>
    <row r="128" spans="1:8" ht="15" customHeight="1">
      <c r="A128" s="86" t="s">
        <v>56</v>
      </c>
      <c r="B128" s="90"/>
      <c r="C128" s="77">
        <v>10</v>
      </c>
      <c r="D128" s="77">
        <v>5</v>
      </c>
      <c r="E128" s="101">
        <v>1247018263</v>
      </c>
      <c r="F128" s="101">
        <v>1733904978</v>
      </c>
      <c r="G128" s="101">
        <v>2980923241</v>
      </c>
      <c r="H128" s="97">
        <v>99</v>
      </c>
    </row>
    <row r="129" spans="1:8" ht="15" customHeight="1">
      <c r="A129" s="85" t="s">
        <v>56</v>
      </c>
      <c r="B129" s="89"/>
      <c r="C129" s="76">
        <v>10</v>
      </c>
      <c r="D129" s="76">
        <v>6</v>
      </c>
      <c r="E129" s="100">
        <v>28173093</v>
      </c>
      <c r="F129" s="100">
        <v>129817776</v>
      </c>
      <c r="G129" s="100">
        <v>157990869</v>
      </c>
      <c r="H129" s="96">
        <v>36</v>
      </c>
    </row>
    <row r="130" spans="1:8" ht="15" customHeight="1">
      <c r="A130" s="86" t="s">
        <v>56</v>
      </c>
      <c r="B130" s="90"/>
      <c r="C130" s="77">
        <v>10</v>
      </c>
      <c r="D130" s="77">
        <v>7</v>
      </c>
      <c r="E130" s="101">
        <v>643254925</v>
      </c>
      <c r="F130" s="101">
        <v>972286199</v>
      </c>
      <c r="G130" s="101">
        <v>1615541124</v>
      </c>
      <c r="H130" s="97">
        <v>47</v>
      </c>
    </row>
    <row r="131" spans="1:8" ht="15" customHeight="1">
      <c r="A131" s="85" t="s">
        <v>56</v>
      </c>
      <c r="B131" s="89"/>
      <c r="C131" s="76">
        <v>10</v>
      </c>
      <c r="D131" s="76">
        <v>8</v>
      </c>
      <c r="E131" s="100">
        <v>1031931809</v>
      </c>
      <c r="F131" s="100">
        <v>951934488</v>
      </c>
      <c r="G131" s="100">
        <v>1983866297</v>
      </c>
      <c r="H131" s="96">
        <v>1057</v>
      </c>
    </row>
    <row r="132" spans="1:8" ht="15" customHeight="1">
      <c r="A132" s="86" t="s">
        <v>56</v>
      </c>
      <c r="B132" s="90"/>
      <c r="C132" s="77">
        <v>10</v>
      </c>
      <c r="D132" s="77">
        <v>9</v>
      </c>
      <c r="E132" s="101">
        <v>4293883960</v>
      </c>
      <c r="F132" s="101">
        <v>3491171694</v>
      </c>
      <c r="G132" s="101">
        <v>7785055654</v>
      </c>
      <c r="H132" s="97">
        <v>260</v>
      </c>
    </row>
    <row r="133" spans="1:8" ht="15" customHeight="1">
      <c r="A133" s="85" t="s">
        <v>56</v>
      </c>
      <c r="B133" s="89"/>
      <c r="C133" s="76">
        <v>20</v>
      </c>
      <c r="D133" s="76">
        <v>1</v>
      </c>
      <c r="E133" s="100">
        <v>0</v>
      </c>
      <c r="F133" s="100">
        <v>6055316</v>
      </c>
      <c r="G133" s="100">
        <v>6055316</v>
      </c>
      <c r="H133" s="96">
        <v>77</v>
      </c>
    </row>
    <row r="134" spans="1:8" ht="15" customHeight="1">
      <c r="A134" s="86" t="s">
        <v>56</v>
      </c>
      <c r="B134" s="90"/>
      <c r="C134" s="77">
        <v>20</v>
      </c>
      <c r="D134" s="77">
        <v>2</v>
      </c>
      <c r="E134" s="101">
        <v>214841665</v>
      </c>
      <c r="F134" s="101">
        <v>174357590</v>
      </c>
      <c r="G134" s="101">
        <v>389199255</v>
      </c>
      <c r="H134" s="97">
        <v>510</v>
      </c>
    </row>
    <row r="135" spans="1:8" ht="15" customHeight="1">
      <c r="A135" s="85" t="s">
        <v>56</v>
      </c>
      <c r="B135" s="89"/>
      <c r="C135" s="76">
        <v>20</v>
      </c>
      <c r="D135" s="76">
        <v>3</v>
      </c>
      <c r="E135" s="100">
        <v>379369451</v>
      </c>
      <c r="F135" s="100">
        <v>651994955</v>
      </c>
      <c r="G135" s="100">
        <v>1031364406</v>
      </c>
      <c r="H135" s="96">
        <v>5057</v>
      </c>
    </row>
    <row r="136" spans="1:8" ht="15" customHeight="1">
      <c r="A136" s="86" t="s">
        <v>56</v>
      </c>
      <c r="B136" s="90"/>
      <c r="C136" s="77">
        <v>20</v>
      </c>
      <c r="D136" s="77">
        <v>4</v>
      </c>
      <c r="E136" s="101">
        <v>3420839</v>
      </c>
      <c r="F136" s="101">
        <v>43417592</v>
      </c>
      <c r="G136" s="101">
        <v>46838431</v>
      </c>
      <c r="H136" s="97">
        <v>209</v>
      </c>
    </row>
    <row r="137" spans="1:8" ht="15" customHeight="1">
      <c r="A137" s="85" t="s">
        <v>56</v>
      </c>
      <c r="B137" s="89"/>
      <c r="C137" s="76">
        <v>20</v>
      </c>
      <c r="D137" s="76">
        <v>5</v>
      </c>
      <c r="E137" s="100">
        <v>25050870</v>
      </c>
      <c r="F137" s="100">
        <v>307958290</v>
      </c>
      <c r="G137" s="100">
        <v>333009160</v>
      </c>
      <c r="H137" s="96">
        <v>44</v>
      </c>
    </row>
    <row r="138" spans="1:8" ht="15" customHeight="1">
      <c r="A138" s="86" t="s">
        <v>56</v>
      </c>
      <c r="B138" s="90"/>
      <c r="C138" s="77">
        <v>20</v>
      </c>
      <c r="D138" s="77">
        <v>6</v>
      </c>
      <c r="E138" s="101">
        <v>204000</v>
      </c>
      <c r="F138" s="101">
        <v>1627633</v>
      </c>
      <c r="G138" s="101">
        <v>1831633</v>
      </c>
      <c r="H138" s="97">
        <v>9</v>
      </c>
    </row>
    <row r="139" spans="1:8" ht="15" customHeight="1">
      <c r="A139" s="85" t="s">
        <v>56</v>
      </c>
      <c r="B139" s="89"/>
      <c r="C139" s="76">
        <v>20</v>
      </c>
      <c r="D139" s="76">
        <v>7</v>
      </c>
      <c r="E139" s="100">
        <v>23514204</v>
      </c>
      <c r="F139" s="100">
        <v>41970670</v>
      </c>
      <c r="G139" s="100">
        <v>65484874</v>
      </c>
      <c r="H139" s="96">
        <v>13</v>
      </c>
    </row>
    <row r="140" spans="1:8" ht="15" customHeight="1">
      <c r="A140" s="86" t="s">
        <v>56</v>
      </c>
      <c r="B140" s="90"/>
      <c r="C140" s="77">
        <v>20</v>
      </c>
      <c r="D140" s="77">
        <v>8</v>
      </c>
      <c r="E140" s="101">
        <v>65491312</v>
      </c>
      <c r="F140" s="101">
        <v>433408765</v>
      </c>
      <c r="G140" s="101">
        <v>498900077</v>
      </c>
      <c r="H140" s="97">
        <v>590</v>
      </c>
    </row>
    <row r="141" spans="1:8" ht="15" customHeight="1">
      <c r="A141" s="85" t="s">
        <v>56</v>
      </c>
      <c r="B141" s="89"/>
      <c r="C141" s="76">
        <v>20</v>
      </c>
      <c r="D141" s="76">
        <v>9</v>
      </c>
      <c r="E141" s="100">
        <v>276652342</v>
      </c>
      <c r="F141" s="100">
        <v>219444614</v>
      </c>
      <c r="G141" s="100">
        <v>496096956</v>
      </c>
      <c r="H141" s="96">
        <v>57</v>
      </c>
    </row>
    <row r="142" spans="1:8" ht="15" customHeight="1">
      <c r="A142" s="86" t="s">
        <v>56</v>
      </c>
      <c r="B142" s="90"/>
      <c r="C142" s="77">
        <v>21</v>
      </c>
      <c r="D142" s="77">
        <v>1</v>
      </c>
      <c r="E142" s="101">
        <v>2051843777</v>
      </c>
      <c r="F142" s="101">
        <v>1149401916</v>
      </c>
      <c r="G142" s="101">
        <v>3201245693</v>
      </c>
      <c r="H142" s="97">
        <v>2806</v>
      </c>
    </row>
    <row r="143" spans="1:8" ht="15" customHeight="1">
      <c r="A143" s="85" t="s">
        <v>56</v>
      </c>
      <c r="B143" s="89"/>
      <c r="C143" s="76">
        <v>21</v>
      </c>
      <c r="D143" s="76">
        <v>2</v>
      </c>
      <c r="E143" s="100">
        <v>1673687238</v>
      </c>
      <c r="F143" s="100">
        <v>250759801</v>
      </c>
      <c r="G143" s="100">
        <v>1924447039</v>
      </c>
      <c r="H143" s="96">
        <v>2349</v>
      </c>
    </row>
    <row r="144" spans="1:8" ht="15" customHeight="1">
      <c r="A144" s="86" t="s">
        <v>56</v>
      </c>
      <c r="B144" s="90"/>
      <c r="C144" s="77">
        <v>21</v>
      </c>
      <c r="D144" s="77">
        <v>3</v>
      </c>
      <c r="E144" s="101">
        <v>934069683</v>
      </c>
      <c r="F144" s="101">
        <v>456142846</v>
      </c>
      <c r="G144" s="101">
        <v>1390212529</v>
      </c>
      <c r="H144" s="97">
        <v>4346</v>
      </c>
    </row>
    <row r="145" spans="1:8" ht="15" customHeight="1">
      <c r="A145" s="85" t="s">
        <v>56</v>
      </c>
      <c r="B145" s="89"/>
      <c r="C145" s="76">
        <v>21</v>
      </c>
      <c r="D145" s="76">
        <v>4</v>
      </c>
      <c r="E145" s="100">
        <v>4066964</v>
      </c>
      <c r="F145" s="100">
        <v>40391584</v>
      </c>
      <c r="G145" s="100">
        <v>44458548</v>
      </c>
      <c r="H145" s="96">
        <v>132</v>
      </c>
    </row>
    <row r="146" spans="1:8" ht="15" customHeight="1">
      <c r="A146" s="86" t="s">
        <v>56</v>
      </c>
      <c r="B146" s="90"/>
      <c r="C146" s="77">
        <v>21</v>
      </c>
      <c r="D146" s="77">
        <v>5</v>
      </c>
      <c r="E146" s="101">
        <v>189461601</v>
      </c>
      <c r="F146" s="101">
        <v>309410523</v>
      </c>
      <c r="G146" s="101">
        <v>498872124</v>
      </c>
      <c r="H146" s="97">
        <v>52</v>
      </c>
    </row>
    <row r="147" spans="1:8" ht="15" customHeight="1">
      <c r="A147" s="85" t="s">
        <v>56</v>
      </c>
      <c r="B147" s="89"/>
      <c r="C147" s="76">
        <v>21</v>
      </c>
      <c r="D147" s="76">
        <v>6</v>
      </c>
      <c r="E147" s="100">
        <v>0</v>
      </c>
      <c r="F147" s="100">
        <v>0</v>
      </c>
      <c r="G147" s="100">
        <v>0</v>
      </c>
      <c r="H147" s="96">
        <v>2</v>
      </c>
    </row>
    <row r="148" spans="1:8" ht="15" customHeight="1">
      <c r="A148" s="86" t="s">
        <v>56</v>
      </c>
      <c r="B148" s="90"/>
      <c r="C148" s="77">
        <v>21</v>
      </c>
      <c r="D148" s="77">
        <v>7</v>
      </c>
      <c r="E148" s="101">
        <v>44744493</v>
      </c>
      <c r="F148" s="101">
        <v>18335298</v>
      </c>
      <c r="G148" s="101">
        <v>63079791</v>
      </c>
      <c r="H148" s="97">
        <v>5</v>
      </c>
    </row>
    <row r="149" spans="1:8" ht="15" customHeight="1">
      <c r="A149" s="85" t="s">
        <v>56</v>
      </c>
      <c r="B149" s="89"/>
      <c r="C149" s="76">
        <v>21</v>
      </c>
      <c r="D149" s="76">
        <v>8</v>
      </c>
      <c r="E149" s="100">
        <v>49819025</v>
      </c>
      <c r="F149" s="100">
        <v>160910929</v>
      </c>
      <c r="G149" s="100">
        <v>210729954</v>
      </c>
      <c r="H149" s="96">
        <v>342</v>
      </c>
    </row>
    <row r="150" spans="1:8" ht="15" customHeight="1">
      <c r="A150" s="86" t="s">
        <v>56</v>
      </c>
      <c r="B150" s="90"/>
      <c r="C150" s="77">
        <v>21</v>
      </c>
      <c r="D150" s="77">
        <v>9</v>
      </c>
      <c r="E150" s="101">
        <v>277298640</v>
      </c>
      <c r="F150" s="101">
        <v>231109490</v>
      </c>
      <c r="G150" s="101">
        <v>508408130</v>
      </c>
      <c r="H150" s="97">
        <v>38</v>
      </c>
    </row>
    <row r="151" spans="1:8" ht="15" customHeight="1">
      <c r="A151" s="85" t="s">
        <v>56</v>
      </c>
      <c r="B151" s="89"/>
      <c r="C151" s="76" t="s">
        <v>16</v>
      </c>
      <c r="D151" s="76">
        <v>1</v>
      </c>
      <c r="E151" s="100">
        <v>1240831</v>
      </c>
      <c r="F151" s="100">
        <v>2269310</v>
      </c>
      <c r="G151" s="100">
        <v>3510141</v>
      </c>
      <c r="H151" s="96">
        <v>65</v>
      </c>
    </row>
    <row r="152" spans="1:8" ht="15" customHeight="1">
      <c r="A152" s="86" t="s">
        <v>56</v>
      </c>
      <c r="B152" s="90"/>
      <c r="C152" s="77" t="s">
        <v>16</v>
      </c>
      <c r="D152" s="77">
        <v>2</v>
      </c>
      <c r="E152" s="101">
        <v>73787026</v>
      </c>
      <c r="F152" s="101">
        <v>96505279</v>
      </c>
      <c r="G152" s="101">
        <v>170292305</v>
      </c>
      <c r="H152" s="97">
        <v>232</v>
      </c>
    </row>
    <row r="153" spans="1:8" ht="15" customHeight="1">
      <c r="A153" s="85" t="s">
        <v>56</v>
      </c>
      <c r="B153" s="89"/>
      <c r="C153" s="76" t="s">
        <v>16</v>
      </c>
      <c r="D153" s="76">
        <v>3</v>
      </c>
      <c r="E153" s="100">
        <v>59239800</v>
      </c>
      <c r="F153" s="100">
        <v>321004495</v>
      </c>
      <c r="G153" s="100">
        <v>380244295</v>
      </c>
      <c r="H153" s="96">
        <v>2063</v>
      </c>
    </row>
    <row r="154" spans="1:8" ht="15" customHeight="1">
      <c r="A154" s="86" t="s">
        <v>56</v>
      </c>
      <c r="B154" s="90"/>
      <c r="C154" s="77" t="s">
        <v>16</v>
      </c>
      <c r="D154" s="77">
        <v>4</v>
      </c>
      <c r="E154" s="101">
        <v>2408140</v>
      </c>
      <c r="F154" s="101">
        <v>42694054</v>
      </c>
      <c r="G154" s="101">
        <v>45102194</v>
      </c>
      <c r="H154" s="97">
        <v>140</v>
      </c>
    </row>
    <row r="155" spans="1:8" ht="15" customHeight="1">
      <c r="A155" s="85" t="s">
        <v>56</v>
      </c>
      <c r="B155" s="89"/>
      <c r="C155" s="76" t="s">
        <v>16</v>
      </c>
      <c r="D155" s="76">
        <v>5</v>
      </c>
      <c r="E155" s="100">
        <v>0</v>
      </c>
      <c r="F155" s="100">
        <v>367795300</v>
      </c>
      <c r="G155" s="100">
        <v>367795300</v>
      </c>
      <c r="H155" s="96">
        <v>37</v>
      </c>
    </row>
    <row r="156" spans="1:8" ht="15" customHeight="1">
      <c r="A156" s="86" t="s">
        <v>56</v>
      </c>
      <c r="B156" s="90"/>
      <c r="C156" s="77" t="s">
        <v>16</v>
      </c>
      <c r="D156" s="77">
        <v>6</v>
      </c>
      <c r="E156" s="101">
        <v>678500</v>
      </c>
      <c r="F156" s="101">
        <v>984342</v>
      </c>
      <c r="G156" s="101">
        <v>1662842</v>
      </c>
      <c r="H156" s="97">
        <v>2</v>
      </c>
    </row>
    <row r="157" spans="1:8" ht="15" customHeight="1">
      <c r="A157" s="85" t="s">
        <v>56</v>
      </c>
      <c r="B157" s="89"/>
      <c r="C157" s="76" t="s">
        <v>16</v>
      </c>
      <c r="D157" s="76">
        <v>7</v>
      </c>
      <c r="E157" s="100">
        <v>18144000</v>
      </c>
      <c r="F157" s="100">
        <v>250018711</v>
      </c>
      <c r="G157" s="100">
        <v>268162711</v>
      </c>
      <c r="H157" s="96">
        <v>10</v>
      </c>
    </row>
    <row r="158" spans="1:8" ht="15" customHeight="1">
      <c r="A158" s="86" t="s">
        <v>56</v>
      </c>
      <c r="B158" s="90"/>
      <c r="C158" s="77" t="s">
        <v>16</v>
      </c>
      <c r="D158" s="77">
        <v>8</v>
      </c>
      <c r="E158" s="101">
        <v>15851728</v>
      </c>
      <c r="F158" s="101">
        <v>207408640</v>
      </c>
      <c r="G158" s="101">
        <v>223260368</v>
      </c>
      <c r="H158" s="97">
        <v>296</v>
      </c>
    </row>
    <row r="159" spans="1:8" ht="15" customHeight="1">
      <c r="A159" s="85" t="s">
        <v>56</v>
      </c>
      <c r="B159" s="89"/>
      <c r="C159" s="76" t="s">
        <v>16</v>
      </c>
      <c r="D159" s="76">
        <v>9</v>
      </c>
      <c r="E159" s="100">
        <v>221056527</v>
      </c>
      <c r="F159" s="100">
        <v>270417700</v>
      </c>
      <c r="G159" s="100">
        <v>491474227</v>
      </c>
      <c r="H159" s="96">
        <v>39</v>
      </c>
    </row>
    <row r="160" spans="1:8" ht="15" customHeight="1">
      <c r="A160" s="86" t="s">
        <v>56</v>
      </c>
      <c r="B160" s="90"/>
      <c r="C160" s="77" t="s">
        <v>17</v>
      </c>
      <c r="D160" s="77">
        <v>1</v>
      </c>
      <c r="E160" s="101">
        <v>110933928</v>
      </c>
      <c r="F160" s="101">
        <v>18033260</v>
      </c>
      <c r="G160" s="101">
        <v>128967188</v>
      </c>
      <c r="H160" s="97">
        <v>37</v>
      </c>
    </row>
    <row r="161" spans="1:8" ht="15" customHeight="1">
      <c r="A161" s="85" t="s">
        <v>56</v>
      </c>
      <c r="B161" s="89"/>
      <c r="C161" s="76" t="s">
        <v>17</v>
      </c>
      <c r="D161" s="76">
        <v>2</v>
      </c>
      <c r="E161" s="100">
        <v>253623862</v>
      </c>
      <c r="F161" s="100">
        <v>497609262</v>
      </c>
      <c r="G161" s="100">
        <v>751233124</v>
      </c>
      <c r="H161" s="96">
        <v>503</v>
      </c>
    </row>
    <row r="162" spans="1:8" ht="15" customHeight="1">
      <c r="A162" s="86" t="s">
        <v>56</v>
      </c>
      <c r="B162" s="90"/>
      <c r="C162" s="77" t="s">
        <v>17</v>
      </c>
      <c r="D162" s="77">
        <v>3</v>
      </c>
      <c r="E162" s="101">
        <v>1587736470</v>
      </c>
      <c r="F162" s="101">
        <v>1218421780</v>
      </c>
      <c r="G162" s="101">
        <v>2806158250</v>
      </c>
      <c r="H162" s="97">
        <v>3830</v>
      </c>
    </row>
    <row r="163" spans="1:8" ht="15" customHeight="1">
      <c r="A163" s="85" t="s">
        <v>56</v>
      </c>
      <c r="B163" s="89"/>
      <c r="C163" s="76" t="s">
        <v>17</v>
      </c>
      <c r="D163" s="76">
        <v>4</v>
      </c>
      <c r="E163" s="100">
        <v>50936271</v>
      </c>
      <c r="F163" s="100">
        <v>214027434</v>
      </c>
      <c r="G163" s="100">
        <v>264963705</v>
      </c>
      <c r="H163" s="96">
        <v>364</v>
      </c>
    </row>
    <row r="164" spans="1:8" ht="15" customHeight="1">
      <c r="A164" s="86" t="s">
        <v>56</v>
      </c>
      <c r="B164" s="90"/>
      <c r="C164" s="77" t="s">
        <v>17</v>
      </c>
      <c r="D164" s="77">
        <v>5</v>
      </c>
      <c r="E164" s="101">
        <v>588041835</v>
      </c>
      <c r="F164" s="101">
        <v>854906841</v>
      </c>
      <c r="G164" s="101">
        <v>1442948676</v>
      </c>
      <c r="H164" s="97">
        <v>48</v>
      </c>
    </row>
    <row r="165" spans="1:8" ht="15" customHeight="1">
      <c r="A165" s="85" t="s">
        <v>56</v>
      </c>
      <c r="B165" s="89"/>
      <c r="C165" s="76" t="s">
        <v>17</v>
      </c>
      <c r="D165" s="76">
        <v>6</v>
      </c>
      <c r="E165" s="100">
        <v>11754928</v>
      </c>
      <c r="F165" s="100">
        <v>106884801</v>
      </c>
      <c r="G165" s="100">
        <v>118639729</v>
      </c>
      <c r="H165" s="96">
        <v>40</v>
      </c>
    </row>
    <row r="166" spans="1:8" ht="15" customHeight="1">
      <c r="A166" s="86" t="s">
        <v>56</v>
      </c>
      <c r="B166" s="90"/>
      <c r="C166" s="77" t="s">
        <v>17</v>
      </c>
      <c r="D166" s="77">
        <v>7</v>
      </c>
      <c r="E166" s="101">
        <v>70011608</v>
      </c>
      <c r="F166" s="101">
        <v>130928505</v>
      </c>
      <c r="G166" s="101">
        <v>200940113</v>
      </c>
      <c r="H166" s="97">
        <v>14</v>
      </c>
    </row>
    <row r="167" spans="1:8" ht="15" customHeight="1">
      <c r="A167" s="85" t="s">
        <v>56</v>
      </c>
      <c r="B167" s="89"/>
      <c r="C167" s="76" t="s">
        <v>17</v>
      </c>
      <c r="D167" s="76">
        <v>8</v>
      </c>
      <c r="E167" s="100">
        <v>1088464910</v>
      </c>
      <c r="F167" s="100">
        <v>2210673389</v>
      </c>
      <c r="G167" s="100">
        <v>3299138299</v>
      </c>
      <c r="H167" s="96">
        <v>3375</v>
      </c>
    </row>
    <row r="168" spans="1:8" ht="15" customHeight="1">
      <c r="A168" s="86" t="s">
        <v>56</v>
      </c>
      <c r="B168" s="90"/>
      <c r="C168" s="77" t="s">
        <v>17</v>
      </c>
      <c r="D168" s="77">
        <v>9</v>
      </c>
      <c r="E168" s="101">
        <v>862535610</v>
      </c>
      <c r="F168" s="101">
        <v>458595320</v>
      </c>
      <c r="G168" s="101">
        <v>1321130930</v>
      </c>
      <c r="H168" s="97">
        <v>52</v>
      </c>
    </row>
    <row r="169" spans="1:8" ht="15" customHeight="1">
      <c r="A169" s="85" t="s">
        <v>56</v>
      </c>
      <c r="B169" s="89"/>
      <c r="C169" s="76" t="s">
        <v>18</v>
      </c>
      <c r="D169" s="76">
        <v>1</v>
      </c>
      <c r="E169" s="100">
        <v>73610469</v>
      </c>
      <c r="F169" s="100">
        <v>2586300</v>
      </c>
      <c r="G169" s="100">
        <v>76196769</v>
      </c>
      <c r="H169" s="96">
        <v>32</v>
      </c>
    </row>
    <row r="170" spans="1:8" ht="15" customHeight="1">
      <c r="A170" s="86" t="s">
        <v>56</v>
      </c>
      <c r="B170" s="90"/>
      <c r="C170" s="77" t="s">
        <v>18</v>
      </c>
      <c r="D170" s="77">
        <v>2</v>
      </c>
      <c r="E170" s="101">
        <v>100131032</v>
      </c>
      <c r="F170" s="101">
        <v>206427248</v>
      </c>
      <c r="G170" s="101">
        <v>306558280</v>
      </c>
      <c r="H170" s="97">
        <v>284</v>
      </c>
    </row>
    <row r="171" spans="1:8" ht="15" customHeight="1">
      <c r="A171" s="85" t="s">
        <v>56</v>
      </c>
      <c r="B171" s="89"/>
      <c r="C171" s="76" t="s">
        <v>18</v>
      </c>
      <c r="D171" s="76">
        <v>3</v>
      </c>
      <c r="E171" s="100">
        <v>852433973</v>
      </c>
      <c r="F171" s="100">
        <v>835222362</v>
      </c>
      <c r="G171" s="100">
        <v>1687656335</v>
      </c>
      <c r="H171" s="96">
        <v>2218</v>
      </c>
    </row>
    <row r="172" spans="1:8" ht="15" customHeight="1">
      <c r="A172" s="86" t="s">
        <v>56</v>
      </c>
      <c r="B172" s="90"/>
      <c r="C172" s="77" t="s">
        <v>18</v>
      </c>
      <c r="D172" s="77">
        <v>4</v>
      </c>
      <c r="E172" s="101">
        <v>7981405</v>
      </c>
      <c r="F172" s="101">
        <v>25516796</v>
      </c>
      <c r="G172" s="101">
        <v>33498201</v>
      </c>
      <c r="H172" s="97">
        <v>29</v>
      </c>
    </row>
    <row r="173" spans="1:8" ht="15" customHeight="1">
      <c r="A173" s="85" t="s">
        <v>56</v>
      </c>
      <c r="B173" s="89"/>
      <c r="C173" s="76" t="s">
        <v>18</v>
      </c>
      <c r="D173" s="76">
        <v>5</v>
      </c>
      <c r="E173" s="100">
        <v>87018176</v>
      </c>
      <c r="F173" s="100">
        <v>246656787</v>
      </c>
      <c r="G173" s="100">
        <v>333674963</v>
      </c>
      <c r="H173" s="96">
        <v>7</v>
      </c>
    </row>
    <row r="174" spans="1:8" ht="15" customHeight="1">
      <c r="A174" s="86" t="s">
        <v>56</v>
      </c>
      <c r="B174" s="90"/>
      <c r="C174" s="77" t="s">
        <v>18</v>
      </c>
      <c r="D174" s="77">
        <v>6</v>
      </c>
      <c r="E174" s="101">
        <v>4975000</v>
      </c>
      <c r="F174" s="101">
        <v>731410</v>
      </c>
      <c r="G174" s="101">
        <v>5706410</v>
      </c>
      <c r="H174" s="97">
        <v>6</v>
      </c>
    </row>
    <row r="175" spans="1:8" ht="15" customHeight="1">
      <c r="A175" s="85" t="s">
        <v>56</v>
      </c>
      <c r="B175" s="89"/>
      <c r="C175" s="76" t="s">
        <v>18</v>
      </c>
      <c r="D175" s="76">
        <v>7</v>
      </c>
      <c r="E175" s="100">
        <v>547501</v>
      </c>
      <c r="F175" s="100">
        <v>134590500</v>
      </c>
      <c r="G175" s="100">
        <v>135138001</v>
      </c>
      <c r="H175" s="96">
        <v>10</v>
      </c>
    </row>
    <row r="176" spans="1:8" ht="15" customHeight="1">
      <c r="A176" s="86" t="s">
        <v>56</v>
      </c>
      <c r="B176" s="90"/>
      <c r="C176" s="77" t="s">
        <v>18</v>
      </c>
      <c r="D176" s="77">
        <v>8</v>
      </c>
      <c r="E176" s="101">
        <v>5174490</v>
      </c>
      <c r="F176" s="101">
        <v>18839114</v>
      </c>
      <c r="G176" s="101">
        <v>24013604</v>
      </c>
      <c r="H176" s="97">
        <v>14</v>
      </c>
    </row>
    <row r="177" spans="1:8" ht="15" customHeight="1" thickBot="1">
      <c r="A177" s="87" t="s">
        <v>56</v>
      </c>
      <c r="B177" s="91"/>
      <c r="C177" s="78" t="s">
        <v>18</v>
      </c>
      <c r="D177" s="78">
        <v>9</v>
      </c>
      <c r="E177" s="102">
        <v>5048475</v>
      </c>
      <c r="F177" s="102">
        <v>11000</v>
      </c>
      <c r="G177" s="102">
        <v>5059475</v>
      </c>
      <c r="H177" s="98">
        <v>4</v>
      </c>
    </row>
  </sheetData>
  <mergeCells count="11">
    <mergeCell ref="A1:D1"/>
    <mergeCell ref="E1:H1"/>
    <mergeCell ref="A2:D2"/>
    <mergeCell ref="E2:H2"/>
    <mergeCell ref="A3:D3"/>
    <mergeCell ref="E3:H3"/>
    <mergeCell ref="A4:D4"/>
    <mergeCell ref="E4:H4"/>
    <mergeCell ref="A5:A6"/>
    <mergeCell ref="B5:B6"/>
    <mergeCell ref="C5:D5"/>
  </mergeCells>
  <pageMargins left="0.74803149606299213" right="0.74803149606299213" top="1.3779527559055118" bottom="0.98425196850393704" header="0" footer="0"/>
  <pageSetup paperSize="9" orientation="portrait" verticalDpi="300" r:id="rId1"/>
  <headerFooter>
    <oddHeader>&amp;L&amp;G&amp;R&amp;G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77"/>
  <sheetViews>
    <sheetView zoomScale="85" zoomScaleNormal="85" zoomScaleSheetLayoutView="70" workbookViewId="0">
      <selection activeCell="I5" sqref="I5:L6"/>
    </sheetView>
  </sheetViews>
  <sheetFormatPr baseColWidth="10" defaultRowHeight="12.75"/>
  <cols>
    <col min="1" max="1" width="10.140625" style="79" bestFit="1" customWidth="1"/>
    <col min="2" max="2" width="30.42578125" style="92" bestFit="1" customWidth="1"/>
    <col min="3" max="3" width="13.140625" style="79" bestFit="1" customWidth="1"/>
    <col min="4" max="4" width="3" style="79" bestFit="1" customWidth="1"/>
    <col min="5" max="7" width="24.7109375" style="103" customWidth="1"/>
    <col min="8" max="8" width="24.7109375" style="104" customWidth="1"/>
    <col min="9" max="11" width="24.7109375" style="103" customWidth="1"/>
    <col min="12" max="12" width="24.7109375" style="104" customWidth="1"/>
    <col min="13" max="16384" width="11.42578125" style="79"/>
  </cols>
  <sheetData>
    <row r="1" spans="1:12" s="80" customFormat="1" ht="18.75">
      <c r="A1" s="159" t="s">
        <v>37</v>
      </c>
      <c r="B1" s="160"/>
      <c r="C1" s="160"/>
      <c r="D1" s="160"/>
      <c r="E1" s="161" t="s">
        <v>55</v>
      </c>
      <c r="F1" s="161"/>
      <c r="G1" s="161"/>
      <c r="H1" s="162"/>
      <c r="I1" s="161" t="s">
        <v>55</v>
      </c>
      <c r="J1" s="161"/>
      <c r="K1" s="161"/>
      <c r="L1" s="162"/>
    </row>
    <row r="2" spans="1:12" s="81" customFormat="1" ht="21" customHeight="1">
      <c r="A2" s="155" t="s">
        <v>83</v>
      </c>
      <c r="B2" s="163"/>
      <c r="C2" s="163"/>
      <c r="D2" s="163"/>
      <c r="E2" s="153" t="s">
        <v>143</v>
      </c>
      <c r="F2" s="153"/>
      <c r="G2" s="153"/>
      <c r="H2" s="154"/>
      <c r="I2" s="153" t="s">
        <v>143</v>
      </c>
      <c r="J2" s="153"/>
      <c r="K2" s="153"/>
      <c r="L2" s="154"/>
    </row>
    <row r="3" spans="1:12" s="81" customFormat="1" ht="21" customHeight="1">
      <c r="A3" s="155" t="s">
        <v>99</v>
      </c>
      <c r="B3" s="163"/>
      <c r="C3" s="163"/>
      <c r="D3" s="163"/>
      <c r="E3" s="153" t="s">
        <v>100</v>
      </c>
      <c r="F3" s="153"/>
      <c r="G3" s="153"/>
      <c r="H3" s="154"/>
      <c r="I3" s="153" t="s">
        <v>132</v>
      </c>
      <c r="J3" s="153"/>
      <c r="K3" s="153"/>
      <c r="L3" s="154"/>
    </row>
    <row r="4" spans="1:12" s="80" customFormat="1" ht="21" customHeight="1">
      <c r="A4" s="150" t="s">
        <v>98</v>
      </c>
      <c r="B4" s="151"/>
      <c r="C4" s="151"/>
      <c r="D4" s="152"/>
      <c r="E4" s="153" t="s">
        <v>142</v>
      </c>
      <c r="F4" s="153"/>
      <c r="G4" s="153"/>
      <c r="H4" s="154"/>
      <c r="I4" s="153" t="s">
        <v>151</v>
      </c>
      <c r="J4" s="153"/>
      <c r="K4" s="153"/>
      <c r="L4" s="154"/>
    </row>
    <row r="5" spans="1:12" s="82" customFormat="1" ht="17.25" customHeight="1">
      <c r="A5" s="155" t="s">
        <v>135</v>
      </c>
      <c r="B5" s="157" t="s">
        <v>136</v>
      </c>
      <c r="C5" s="157" t="s">
        <v>137</v>
      </c>
      <c r="D5" s="157"/>
      <c r="E5" s="130" t="s">
        <v>2</v>
      </c>
      <c r="F5" s="130" t="s">
        <v>2</v>
      </c>
      <c r="G5" s="130" t="s">
        <v>35</v>
      </c>
      <c r="H5" s="131" t="s">
        <v>138</v>
      </c>
      <c r="I5" s="130" t="s">
        <v>2</v>
      </c>
      <c r="J5" s="130" t="s">
        <v>2</v>
      </c>
      <c r="K5" s="130" t="s">
        <v>35</v>
      </c>
      <c r="L5" s="131" t="s">
        <v>138</v>
      </c>
    </row>
    <row r="6" spans="1:12" s="82" customFormat="1" ht="18.75" customHeight="1" thickBot="1">
      <c r="A6" s="156"/>
      <c r="B6" s="158"/>
      <c r="C6" s="73" t="s">
        <v>0</v>
      </c>
      <c r="D6" s="74" t="s">
        <v>1</v>
      </c>
      <c r="E6" s="132" t="s">
        <v>34</v>
      </c>
      <c r="F6" s="132" t="s">
        <v>3</v>
      </c>
      <c r="G6" s="132" t="s">
        <v>36</v>
      </c>
      <c r="H6" s="133" t="s">
        <v>139</v>
      </c>
      <c r="I6" s="132" t="s">
        <v>34</v>
      </c>
      <c r="J6" s="132" t="s">
        <v>3</v>
      </c>
      <c r="K6" s="132" t="s">
        <v>36</v>
      </c>
      <c r="L6" s="133" t="s">
        <v>139</v>
      </c>
    </row>
    <row r="7" spans="1:12" s="84" customFormat="1" ht="15" customHeight="1">
      <c r="A7" s="83" t="s">
        <v>4</v>
      </c>
      <c r="B7" s="88" t="s">
        <v>5</v>
      </c>
      <c r="C7" s="75"/>
      <c r="D7" s="75"/>
      <c r="E7" s="99">
        <f>SUM(E8:E16)</f>
        <v>622313596820</v>
      </c>
      <c r="F7" s="99">
        <f t="shared" ref="F7:G7" si="0">SUM(F8:F16)</f>
        <v>1148137431940</v>
      </c>
      <c r="G7" s="99">
        <f t="shared" si="0"/>
        <v>1770451028760</v>
      </c>
      <c r="H7" s="95">
        <f>SUM(H8:H16)</f>
        <v>3401281</v>
      </c>
      <c r="I7" s="99">
        <f t="shared" ref="I7:L7" si="1">SUM(I8:I16)</f>
        <v>268604442243</v>
      </c>
      <c r="J7" s="99">
        <f t="shared" si="1"/>
        <v>1904531868884</v>
      </c>
      <c r="K7" s="99">
        <f t="shared" si="1"/>
        <v>2173136311127</v>
      </c>
      <c r="L7" s="95">
        <f t="shared" si="1"/>
        <v>3593470</v>
      </c>
    </row>
    <row r="8" spans="1:12" ht="15" customHeight="1">
      <c r="A8" s="85" t="s">
        <v>4</v>
      </c>
      <c r="B8" s="89" t="s">
        <v>39</v>
      </c>
      <c r="C8" s="76">
        <v>1</v>
      </c>
      <c r="D8" s="76"/>
      <c r="E8" s="100">
        <v>5165095573</v>
      </c>
      <c r="F8" s="100">
        <v>1842286520</v>
      </c>
      <c r="G8" s="100">
        <v>7007382093</v>
      </c>
      <c r="H8" s="96">
        <v>19814</v>
      </c>
      <c r="I8" s="100">
        <v>8082628248</v>
      </c>
      <c r="J8" s="100">
        <v>6824307099</v>
      </c>
      <c r="K8" s="100">
        <v>14906935347</v>
      </c>
      <c r="L8" s="96">
        <v>21111</v>
      </c>
    </row>
    <row r="9" spans="1:12" ht="15" customHeight="1">
      <c r="A9" s="86" t="s">
        <v>4</v>
      </c>
      <c r="B9" s="90" t="s">
        <v>38</v>
      </c>
      <c r="C9" s="77">
        <v>2</v>
      </c>
      <c r="D9" s="77"/>
      <c r="E9" s="101">
        <v>68458064629</v>
      </c>
      <c r="F9" s="101">
        <v>53352217721</v>
      </c>
      <c r="G9" s="101">
        <v>121810282350</v>
      </c>
      <c r="H9" s="97">
        <v>172485</v>
      </c>
      <c r="I9" s="101">
        <v>131906166362</v>
      </c>
      <c r="J9" s="101">
        <v>170662608004</v>
      </c>
      <c r="K9" s="101">
        <v>302568774366</v>
      </c>
      <c r="L9" s="97">
        <v>192829</v>
      </c>
    </row>
    <row r="10" spans="1:12" ht="15" customHeight="1">
      <c r="A10" s="85" t="s">
        <v>4</v>
      </c>
      <c r="B10" s="89" t="s">
        <v>40</v>
      </c>
      <c r="C10" s="76">
        <v>3</v>
      </c>
      <c r="D10" s="76"/>
      <c r="E10" s="100">
        <v>163410346073</v>
      </c>
      <c r="F10" s="100">
        <v>198294772243</v>
      </c>
      <c r="G10" s="100">
        <v>361705118316</v>
      </c>
      <c r="H10" s="96">
        <v>1480989</v>
      </c>
      <c r="I10" s="100">
        <v>87691141491</v>
      </c>
      <c r="J10" s="100">
        <v>370900696224</v>
      </c>
      <c r="K10" s="100">
        <v>458591837715</v>
      </c>
      <c r="L10" s="96">
        <v>1538112</v>
      </c>
    </row>
    <row r="11" spans="1:12" ht="15" customHeight="1">
      <c r="A11" s="86" t="s">
        <v>4</v>
      </c>
      <c r="B11" s="90" t="s">
        <v>6</v>
      </c>
      <c r="C11" s="77">
        <v>4</v>
      </c>
      <c r="D11" s="77"/>
      <c r="E11" s="101">
        <v>14689650174</v>
      </c>
      <c r="F11" s="101">
        <v>118022738938</v>
      </c>
      <c r="G11" s="101">
        <v>132712389112</v>
      </c>
      <c r="H11" s="97">
        <v>370255</v>
      </c>
      <c r="I11" s="101">
        <v>1229553739</v>
      </c>
      <c r="J11" s="101">
        <v>138045327148</v>
      </c>
      <c r="K11" s="101">
        <v>139274880887</v>
      </c>
      <c r="L11" s="97">
        <v>392415</v>
      </c>
    </row>
    <row r="12" spans="1:12" ht="15" customHeight="1">
      <c r="A12" s="85" t="s">
        <v>4</v>
      </c>
      <c r="B12" s="89" t="s">
        <v>7</v>
      </c>
      <c r="C12" s="76">
        <v>5</v>
      </c>
      <c r="D12" s="76"/>
      <c r="E12" s="100">
        <v>88259422665</v>
      </c>
      <c r="F12" s="100">
        <v>179781352489</v>
      </c>
      <c r="G12" s="100">
        <v>268040775154</v>
      </c>
      <c r="H12" s="96">
        <v>62743</v>
      </c>
      <c r="I12" s="100">
        <v>4183932822</v>
      </c>
      <c r="J12" s="100">
        <v>279702590947</v>
      </c>
      <c r="K12" s="100">
        <v>283886523769</v>
      </c>
      <c r="L12" s="96">
        <v>66213</v>
      </c>
    </row>
    <row r="13" spans="1:12" ht="15" customHeight="1">
      <c r="A13" s="86" t="s">
        <v>4</v>
      </c>
      <c r="B13" s="90" t="s">
        <v>8</v>
      </c>
      <c r="C13" s="77">
        <v>6</v>
      </c>
      <c r="D13" s="77"/>
      <c r="E13" s="101">
        <v>3022186205</v>
      </c>
      <c r="F13" s="101">
        <v>4498252974</v>
      </c>
      <c r="G13" s="101">
        <v>7520439179</v>
      </c>
      <c r="H13" s="97">
        <v>5048</v>
      </c>
      <c r="I13" s="101">
        <v>186313034</v>
      </c>
      <c r="J13" s="101">
        <v>6704328304</v>
      </c>
      <c r="K13" s="101">
        <v>6890641338</v>
      </c>
      <c r="L13" s="97">
        <v>5381</v>
      </c>
    </row>
    <row r="14" spans="1:12" ht="15" customHeight="1">
      <c r="A14" s="85" t="s">
        <v>4</v>
      </c>
      <c r="B14" s="89" t="s">
        <v>9</v>
      </c>
      <c r="C14" s="76">
        <v>7</v>
      </c>
      <c r="D14" s="76"/>
      <c r="E14" s="100">
        <v>9896333984</v>
      </c>
      <c r="F14" s="100">
        <v>19725014383</v>
      </c>
      <c r="G14" s="100">
        <v>29621348367</v>
      </c>
      <c r="H14" s="96">
        <v>4590</v>
      </c>
      <c r="I14" s="100">
        <v>728527682</v>
      </c>
      <c r="J14" s="100">
        <v>34245988621</v>
      </c>
      <c r="K14" s="100">
        <v>34974516303</v>
      </c>
      <c r="L14" s="96">
        <v>5122</v>
      </c>
    </row>
    <row r="15" spans="1:12" ht="15" customHeight="1">
      <c r="A15" s="86" t="s">
        <v>4</v>
      </c>
      <c r="B15" s="90" t="s">
        <v>10</v>
      </c>
      <c r="C15" s="77">
        <v>8</v>
      </c>
      <c r="D15" s="77"/>
      <c r="E15" s="101">
        <v>181792265341</v>
      </c>
      <c r="F15" s="101">
        <v>461969778114</v>
      </c>
      <c r="G15" s="101">
        <v>643762043455</v>
      </c>
      <c r="H15" s="97">
        <v>1250894</v>
      </c>
      <c r="I15" s="101">
        <v>18121835159</v>
      </c>
      <c r="J15" s="101">
        <v>688812596734</v>
      </c>
      <c r="K15" s="101">
        <v>706934431893</v>
      </c>
      <c r="L15" s="97">
        <v>1332732</v>
      </c>
    </row>
    <row r="16" spans="1:12" ht="15" customHeight="1" thickBot="1">
      <c r="A16" s="85" t="s">
        <v>4</v>
      </c>
      <c r="B16" s="89" t="s">
        <v>11</v>
      </c>
      <c r="C16" s="76">
        <v>9</v>
      </c>
      <c r="D16" s="76"/>
      <c r="E16" s="100">
        <v>87620232176</v>
      </c>
      <c r="F16" s="100">
        <v>110651018558</v>
      </c>
      <c r="G16" s="100">
        <v>198271250734</v>
      </c>
      <c r="H16" s="96">
        <v>34463</v>
      </c>
      <c r="I16" s="100">
        <v>16474343706</v>
      </c>
      <c r="J16" s="100">
        <v>208633425803</v>
      </c>
      <c r="K16" s="100">
        <v>225107769509</v>
      </c>
      <c r="L16" s="96">
        <v>39555</v>
      </c>
    </row>
    <row r="17" spans="1:12" s="84" customFormat="1" ht="15" customHeight="1">
      <c r="A17" s="83" t="s">
        <v>4</v>
      </c>
      <c r="B17" s="88" t="s">
        <v>5</v>
      </c>
      <c r="C17" s="75"/>
      <c r="D17" s="75"/>
      <c r="E17" s="99">
        <f>SUM(E18:E19)</f>
        <v>622313596820</v>
      </c>
      <c r="F17" s="99">
        <f t="shared" ref="F17:L17" si="2">SUM(F18:F19)</f>
        <v>1148137431940</v>
      </c>
      <c r="G17" s="99">
        <f t="shared" si="2"/>
        <v>1770451028760</v>
      </c>
      <c r="H17" s="95">
        <f t="shared" si="2"/>
        <v>3401281</v>
      </c>
      <c r="I17" s="99">
        <f>SUM(I18:I19)</f>
        <v>268604442243</v>
      </c>
      <c r="J17" s="99">
        <f t="shared" si="2"/>
        <v>1904531868884</v>
      </c>
      <c r="K17" s="99">
        <f t="shared" si="2"/>
        <v>2173136311127</v>
      </c>
      <c r="L17" s="95">
        <f t="shared" si="2"/>
        <v>3593470</v>
      </c>
    </row>
    <row r="18" spans="1:12" s="84" customFormat="1" ht="15" customHeight="1">
      <c r="A18" s="85" t="s">
        <v>4</v>
      </c>
      <c r="B18" s="89" t="s">
        <v>12</v>
      </c>
      <c r="C18" s="76" t="s">
        <v>19</v>
      </c>
      <c r="D18" s="76"/>
      <c r="E18" s="100">
        <f>+E8+E9+E10</f>
        <v>237033506275</v>
      </c>
      <c r="F18" s="100">
        <f t="shared" ref="F18:L18" si="3">+F8+F9+F10</f>
        <v>253489276484</v>
      </c>
      <c r="G18" s="100">
        <f t="shared" si="3"/>
        <v>490522782759</v>
      </c>
      <c r="H18" s="96">
        <f t="shared" si="3"/>
        <v>1673288</v>
      </c>
      <c r="I18" s="100">
        <f>+I8+I9+I10</f>
        <v>227679936101</v>
      </c>
      <c r="J18" s="100">
        <f t="shared" si="3"/>
        <v>548387611327</v>
      </c>
      <c r="K18" s="100">
        <f t="shared" si="3"/>
        <v>776067547428</v>
      </c>
      <c r="L18" s="96">
        <f t="shared" si="3"/>
        <v>1752052</v>
      </c>
    </row>
    <row r="19" spans="1:12" s="84" customFormat="1" ht="15" customHeight="1" thickBot="1">
      <c r="A19" s="86" t="s">
        <v>4</v>
      </c>
      <c r="B19" s="90" t="s">
        <v>13</v>
      </c>
      <c r="C19" s="77" t="s">
        <v>20</v>
      </c>
      <c r="D19" s="77"/>
      <c r="E19" s="101">
        <f>+E11+E12+E13+E14+E15+E16</f>
        <v>385280090545</v>
      </c>
      <c r="F19" s="101">
        <f t="shared" ref="F19:L19" si="4">+F11+F12+F13+F14+F15+F16</f>
        <v>894648155456</v>
      </c>
      <c r="G19" s="101">
        <f t="shared" si="4"/>
        <v>1279928246001</v>
      </c>
      <c r="H19" s="97">
        <f t="shared" si="4"/>
        <v>1727993</v>
      </c>
      <c r="I19" s="101">
        <f>+I11+I12+I13+I14+I15+I16</f>
        <v>40924506142</v>
      </c>
      <c r="J19" s="101">
        <f t="shared" si="4"/>
        <v>1356144257557</v>
      </c>
      <c r="K19" s="101">
        <f t="shared" si="4"/>
        <v>1397068763699</v>
      </c>
      <c r="L19" s="97">
        <f t="shared" si="4"/>
        <v>1841418</v>
      </c>
    </row>
    <row r="20" spans="1:12" s="84" customFormat="1" ht="15" customHeight="1">
      <c r="A20" s="83" t="s">
        <v>84</v>
      </c>
      <c r="B20" s="88" t="s">
        <v>5</v>
      </c>
      <c r="C20" s="75"/>
      <c r="D20" s="75"/>
      <c r="E20" s="99">
        <f>SUM(E21:E45)</f>
        <v>622313596820</v>
      </c>
      <c r="F20" s="99">
        <f t="shared" ref="F20:L20" si="5">SUM(F21:F45)</f>
        <v>1148137431940</v>
      </c>
      <c r="G20" s="99">
        <f t="shared" si="5"/>
        <v>1770451028760</v>
      </c>
      <c r="H20" s="95">
        <f t="shared" si="5"/>
        <v>2610964</v>
      </c>
      <c r="I20" s="99">
        <f>SUM(I21:I45)</f>
        <v>268604442243</v>
      </c>
      <c r="J20" s="99">
        <f t="shared" si="5"/>
        <v>1904531868884</v>
      </c>
      <c r="K20" s="99">
        <f t="shared" si="5"/>
        <v>2173136311127</v>
      </c>
      <c r="L20" s="95">
        <f t="shared" si="5"/>
        <v>2756139</v>
      </c>
    </row>
    <row r="21" spans="1:12" ht="15" customHeight="1">
      <c r="A21" s="85" t="s">
        <v>84</v>
      </c>
      <c r="B21" s="89" t="s">
        <v>57</v>
      </c>
      <c r="C21" s="76"/>
      <c r="D21" s="76"/>
      <c r="E21" s="100">
        <v>124814581043</v>
      </c>
      <c r="F21" s="100">
        <v>181202624827</v>
      </c>
      <c r="G21" s="100">
        <v>306017205870</v>
      </c>
      <c r="H21" s="96">
        <v>364274</v>
      </c>
      <c r="I21" s="100">
        <v>61811320759</v>
      </c>
      <c r="J21" s="100">
        <v>314680862404</v>
      </c>
      <c r="K21" s="100">
        <v>376492183163</v>
      </c>
      <c r="L21" s="96">
        <v>381896</v>
      </c>
    </row>
    <row r="22" spans="1:12" ht="15" customHeight="1">
      <c r="A22" s="86" t="s">
        <v>84</v>
      </c>
      <c r="B22" s="90" t="s">
        <v>58</v>
      </c>
      <c r="C22" s="77"/>
      <c r="D22" s="77"/>
      <c r="E22" s="101">
        <v>305687058106</v>
      </c>
      <c r="F22" s="101">
        <v>593756915461</v>
      </c>
      <c r="G22" s="101">
        <v>899443973567</v>
      </c>
      <c r="H22" s="97">
        <v>1205816</v>
      </c>
      <c r="I22" s="101">
        <v>141766530408</v>
      </c>
      <c r="J22" s="101">
        <v>965868231548</v>
      </c>
      <c r="K22" s="101">
        <v>1107634761956</v>
      </c>
      <c r="L22" s="97">
        <v>1270129</v>
      </c>
    </row>
    <row r="23" spans="1:12" ht="15" customHeight="1">
      <c r="A23" s="85" t="s">
        <v>84</v>
      </c>
      <c r="B23" s="89" t="s">
        <v>59</v>
      </c>
      <c r="C23" s="76"/>
      <c r="D23" s="76"/>
      <c r="E23" s="100">
        <v>1089164900</v>
      </c>
      <c r="F23" s="100">
        <v>1865860606</v>
      </c>
      <c r="G23" s="100">
        <v>2955025506</v>
      </c>
      <c r="H23" s="96">
        <v>6241</v>
      </c>
      <c r="I23" s="100">
        <v>370901430</v>
      </c>
      <c r="J23" s="100">
        <v>3316886113</v>
      </c>
      <c r="K23" s="100">
        <v>3687787543</v>
      </c>
      <c r="L23" s="96">
        <v>6682</v>
      </c>
    </row>
    <row r="24" spans="1:12" ht="15" customHeight="1">
      <c r="A24" s="86" t="s">
        <v>84</v>
      </c>
      <c r="B24" s="90" t="s">
        <v>60</v>
      </c>
      <c r="C24" s="77"/>
      <c r="D24" s="77"/>
      <c r="E24" s="101">
        <v>42149228729</v>
      </c>
      <c r="F24" s="101">
        <v>83694266261</v>
      </c>
      <c r="G24" s="101">
        <v>125843494990</v>
      </c>
      <c r="H24" s="97">
        <v>233028</v>
      </c>
      <c r="I24" s="101">
        <v>10300532273</v>
      </c>
      <c r="J24" s="101">
        <v>139608176586</v>
      </c>
      <c r="K24" s="101">
        <v>149908708859</v>
      </c>
      <c r="L24" s="97">
        <v>247523</v>
      </c>
    </row>
    <row r="25" spans="1:12" ht="15" customHeight="1">
      <c r="A25" s="85" t="s">
        <v>84</v>
      </c>
      <c r="B25" s="89" t="s">
        <v>61</v>
      </c>
      <c r="C25" s="76"/>
      <c r="D25" s="76"/>
      <c r="E25" s="100">
        <v>5292258642</v>
      </c>
      <c r="F25" s="100">
        <v>9274437092</v>
      </c>
      <c r="G25" s="100">
        <v>14566695734</v>
      </c>
      <c r="H25" s="96">
        <v>21731</v>
      </c>
      <c r="I25" s="100">
        <v>1853599706</v>
      </c>
      <c r="J25" s="100">
        <v>15041747045</v>
      </c>
      <c r="K25" s="100">
        <v>16895346751</v>
      </c>
      <c r="L25" s="96">
        <v>22681</v>
      </c>
    </row>
    <row r="26" spans="1:12" ht="15" customHeight="1">
      <c r="A26" s="86" t="s">
        <v>84</v>
      </c>
      <c r="B26" s="90" t="s">
        <v>62</v>
      </c>
      <c r="C26" s="77"/>
      <c r="D26" s="77"/>
      <c r="E26" s="101">
        <v>8595431058</v>
      </c>
      <c r="F26" s="101">
        <v>16988962724</v>
      </c>
      <c r="G26" s="101">
        <v>25584393782</v>
      </c>
      <c r="H26" s="97">
        <v>59794</v>
      </c>
      <c r="I26" s="101">
        <v>2492597400</v>
      </c>
      <c r="J26" s="101">
        <v>27663271806</v>
      </c>
      <c r="K26" s="101">
        <v>30155869206</v>
      </c>
      <c r="L26" s="97">
        <v>63413</v>
      </c>
    </row>
    <row r="27" spans="1:12" ht="15" customHeight="1">
      <c r="A27" s="85" t="s">
        <v>84</v>
      </c>
      <c r="B27" s="89" t="s">
        <v>63</v>
      </c>
      <c r="C27" s="76"/>
      <c r="D27" s="76"/>
      <c r="E27" s="100">
        <v>1831693429</v>
      </c>
      <c r="F27" s="100">
        <v>2898041577</v>
      </c>
      <c r="G27" s="100">
        <v>4729735006</v>
      </c>
      <c r="H27" s="96">
        <v>9820</v>
      </c>
      <c r="I27" s="100">
        <v>652926328</v>
      </c>
      <c r="J27" s="100">
        <v>5098038109</v>
      </c>
      <c r="K27" s="100">
        <v>5750964437</v>
      </c>
      <c r="L27" s="96">
        <v>10271</v>
      </c>
    </row>
    <row r="28" spans="1:12" ht="15" customHeight="1">
      <c r="A28" s="86" t="s">
        <v>84</v>
      </c>
      <c r="B28" s="90" t="s">
        <v>64</v>
      </c>
      <c r="C28" s="77"/>
      <c r="D28" s="77"/>
      <c r="E28" s="101">
        <v>21728820865</v>
      </c>
      <c r="F28" s="101">
        <v>42112601674</v>
      </c>
      <c r="G28" s="101">
        <v>63841422539</v>
      </c>
      <c r="H28" s="97">
        <v>100201</v>
      </c>
      <c r="I28" s="101">
        <v>12637935334</v>
      </c>
      <c r="J28" s="101">
        <v>73597235965</v>
      </c>
      <c r="K28" s="101">
        <v>86235171299</v>
      </c>
      <c r="L28" s="97">
        <v>106347</v>
      </c>
    </row>
    <row r="29" spans="1:12" ht="15" customHeight="1">
      <c r="A29" s="85" t="s">
        <v>84</v>
      </c>
      <c r="B29" s="89" t="s">
        <v>65</v>
      </c>
      <c r="C29" s="76"/>
      <c r="D29" s="76"/>
      <c r="E29" s="100">
        <v>694078502</v>
      </c>
      <c r="F29" s="100">
        <v>1354207466</v>
      </c>
      <c r="G29" s="100">
        <v>2048285968</v>
      </c>
      <c r="H29" s="96">
        <v>3878</v>
      </c>
      <c r="I29" s="100">
        <v>649898266</v>
      </c>
      <c r="J29" s="100">
        <v>2210742327</v>
      </c>
      <c r="K29" s="100">
        <v>2860640593</v>
      </c>
      <c r="L29" s="96">
        <v>4118</v>
      </c>
    </row>
    <row r="30" spans="1:12" ht="15" customHeight="1">
      <c r="A30" s="86" t="s">
        <v>84</v>
      </c>
      <c r="B30" s="90" t="s">
        <v>66</v>
      </c>
      <c r="C30" s="77"/>
      <c r="D30" s="77"/>
      <c r="E30" s="101">
        <v>3823819772</v>
      </c>
      <c r="F30" s="101">
        <v>8049894007</v>
      </c>
      <c r="G30" s="101">
        <v>11873713779</v>
      </c>
      <c r="H30" s="97">
        <v>18596</v>
      </c>
      <c r="I30" s="101">
        <v>828816308</v>
      </c>
      <c r="J30" s="101">
        <v>12427885979</v>
      </c>
      <c r="K30" s="101">
        <v>13256702287</v>
      </c>
      <c r="L30" s="97">
        <v>19412</v>
      </c>
    </row>
    <row r="31" spans="1:12" ht="15" customHeight="1">
      <c r="A31" s="85" t="s">
        <v>84</v>
      </c>
      <c r="B31" s="89" t="s">
        <v>67</v>
      </c>
      <c r="C31" s="76"/>
      <c r="D31" s="76"/>
      <c r="E31" s="100">
        <v>2768484791</v>
      </c>
      <c r="F31" s="100">
        <v>3867842712</v>
      </c>
      <c r="G31" s="100">
        <v>6636327503</v>
      </c>
      <c r="H31" s="96">
        <v>14843</v>
      </c>
      <c r="I31" s="100">
        <v>1713186501</v>
      </c>
      <c r="J31" s="100">
        <v>7610711928</v>
      </c>
      <c r="K31" s="100">
        <v>9323898429</v>
      </c>
      <c r="L31" s="96">
        <v>15802</v>
      </c>
    </row>
    <row r="32" spans="1:12" ht="15" customHeight="1">
      <c r="A32" s="86" t="s">
        <v>84</v>
      </c>
      <c r="B32" s="90" t="s">
        <v>68</v>
      </c>
      <c r="C32" s="77"/>
      <c r="D32" s="77"/>
      <c r="E32" s="101">
        <v>2411398040</v>
      </c>
      <c r="F32" s="101">
        <v>6187440712</v>
      </c>
      <c r="G32" s="101">
        <v>8598838752</v>
      </c>
      <c r="H32" s="97">
        <v>15750</v>
      </c>
      <c r="I32" s="101">
        <v>936078000</v>
      </c>
      <c r="J32" s="101">
        <v>9698128717</v>
      </c>
      <c r="K32" s="101">
        <v>10634206717</v>
      </c>
      <c r="L32" s="97">
        <v>16752</v>
      </c>
    </row>
    <row r="33" spans="1:24" ht="15" customHeight="1">
      <c r="A33" s="85" t="s">
        <v>84</v>
      </c>
      <c r="B33" s="89" t="s">
        <v>69</v>
      </c>
      <c r="C33" s="76"/>
      <c r="D33" s="76"/>
      <c r="E33" s="100">
        <v>37410726936</v>
      </c>
      <c r="F33" s="100">
        <v>69530185024</v>
      </c>
      <c r="G33" s="100">
        <v>106940911960</v>
      </c>
      <c r="H33" s="96">
        <v>207372</v>
      </c>
      <c r="I33" s="100">
        <v>10281769102</v>
      </c>
      <c r="J33" s="100">
        <v>120066212228</v>
      </c>
      <c r="K33" s="100">
        <v>130347981330</v>
      </c>
      <c r="L33" s="96">
        <v>222524</v>
      </c>
    </row>
    <row r="34" spans="1:24" ht="15" customHeight="1">
      <c r="A34" s="86" t="s">
        <v>84</v>
      </c>
      <c r="B34" s="90" t="s">
        <v>70</v>
      </c>
      <c r="C34" s="77"/>
      <c r="D34" s="77"/>
      <c r="E34" s="101">
        <v>2849589993</v>
      </c>
      <c r="F34" s="101">
        <v>3997034676</v>
      </c>
      <c r="G34" s="101">
        <v>6846624669</v>
      </c>
      <c r="H34" s="97">
        <v>10787</v>
      </c>
      <c r="I34" s="101">
        <v>1670104270</v>
      </c>
      <c r="J34" s="101">
        <v>7148790257</v>
      </c>
      <c r="K34" s="101">
        <v>8818894527</v>
      </c>
      <c r="L34" s="97">
        <v>11264</v>
      </c>
    </row>
    <row r="35" spans="1:24" ht="15" customHeight="1">
      <c r="A35" s="85" t="s">
        <v>84</v>
      </c>
      <c r="B35" s="89" t="s">
        <v>71</v>
      </c>
      <c r="C35" s="76"/>
      <c r="D35" s="76"/>
      <c r="E35" s="100">
        <v>6369456016</v>
      </c>
      <c r="F35" s="100">
        <v>11091943872</v>
      </c>
      <c r="G35" s="100">
        <v>17461399888</v>
      </c>
      <c r="H35" s="96">
        <v>48529</v>
      </c>
      <c r="I35" s="100">
        <v>3328747173</v>
      </c>
      <c r="J35" s="100">
        <v>19973694913</v>
      </c>
      <c r="K35" s="100">
        <v>23302442086</v>
      </c>
      <c r="L35" s="96">
        <v>51633</v>
      </c>
    </row>
    <row r="36" spans="1:24" ht="15" customHeight="1">
      <c r="A36" s="86" t="s">
        <v>84</v>
      </c>
      <c r="B36" s="90" t="s">
        <v>72</v>
      </c>
      <c r="C36" s="77"/>
      <c r="D36" s="77"/>
      <c r="E36" s="101">
        <v>5557911412</v>
      </c>
      <c r="F36" s="101">
        <v>10856316256</v>
      </c>
      <c r="G36" s="101">
        <v>16414227668</v>
      </c>
      <c r="H36" s="97">
        <v>25324</v>
      </c>
      <c r="I36" s="101">
        <v>2821094634</v>
      </c>
      <c r="J36" s="101">
        <v>17199844107</v>
      </c>
      <c r="K36" s="101">
        <v>20020938741</v>
      </c>
      <c r="L36" s="97">
        <v>26328</v>
      </c>
    </row>
    <row r="37" spans="1:24" ht="15" customHeight="1">
      <c r="A37" s="85" t="s">
        <v>84</v>
      </c>
      <c r="B37" s="89" t="s">
        <v>73</v>
      </c>
      <c r="C37" s="76"/>
      <c r="D37" s="76"/>
      <c r="E37" s="100">
        <v>5133812000</v>
      </c>
      <c r="F37" s="100">
        <v>14588366095</v>
      </c>
      <c r="G37" s="100">
        <v>19722178095</v>
      </c>
      <c r="H37" s="96">
        <v>51227</v>
      </c>
      <c r="I37" s="100">
        <v>1235469608</v>
      </c>
      <c r="J37" s="100">
        <v>22532868480</v>
      </c>
      <c r="K37" s="100">
        <v>23768338088</v>
      </c>
      <c r="L37" s="96">
        <v>54636</v>
      </c>
    </row>
    <row r="38" spans="1:24" ht="15" customHeight="1">
      <c r="A38" s="86" t="s">
        <v>84</v>
      </c>
      <c r="B38" s="90" t="s">
        <v>74</v>
      </c>
      <c r="C38" s="77"/>
      <c r="D38" s="77"/>
      <c r="E38" s="101">
        <v>1289978352</v>
      </c>
      <c r="F38" s="101">
        <v>3041960507</v>
      </c>
      <c r="G38" s="101">
        <v>4331938859</v>
      </c>
      <c r="H38" s="97">
        <v>7461</v>
      </c>
      <c r="I38" s="101">
        <v>501291860</v>
      </c>
      <c r="J38" s="101">
        <v>4609136709</v>
      </c>
      <c r="K38" s="101">
        <v>5110428569</v>
      </c>
      <c r="L38" s="97">
        <v>7741</v>
      </c>
    </row>
    <row r="39" spans="1:24" ht="15" customHeight="1">
      <c r="A39" s="85" t="s">
        <v>84</v>
      </c>
      <c r="B39" s="89" t="s">
        <v>75</v>
      </c>
      <c r="C39" s="76"/>
      <c r="D39" s="76"/>
      <c r="E39" s="100">
        <v>7697028936</v>
      </c>
      <c r="F39" s="100">
        <v>9483099577</v>
      </c>
      <c r="G39" s="100">
        <v>17180128513</v>
      </c>
      <c r="H39" s="96">
        <v>28458</v>
      </c>
      <c r="I39" s="100">
        <v>3051876572</v>
      </c>
      <c r="J39" s="100">
        <v>17133910786</v>
      </c>
      <c r="K39" s="100">
        <v>20185787358</v>
      </c>
      <c r="L39" s="96">
        <v>30300</v>
      </c>
    </row>
    <row r="40" spans="1:24" ht="15" customHeight="1">
      <c r="A40" s="86" t="s">
        <v>84</v>
      </c>
      <c r="B40" s="90" t="s">
        <v>76</v>
      </c>
      <c r="C40" s="77"/>
      <c r="D40" s="77"/>
      <c r="E40" s="101">
        <v>12587650277</v>
      </c>
      <c r="F40" s="101">
        <v>24912908364</v>
      </c>
      <c r="G40" s="101">
        <v>37500558641</v>
      </c>
      <c r="H40" s="97">
        <v>66125</v>
      </c>
      <c r="I40" s="101">
        <v>4741793926</v>
      </c>
      <c r="J40" s="101">
        <v>40623907556</v>
      </c>
      <c r="K40" s="101">
        <v>45365701482</v>
      </c>
      <c r="L40" s="97">
        <v>69780</v>
      </c>
    </row>
    <row r="41" spans="1:24" ht="15" customHeight="1">
      <c r="A41" s="85" t="s">
        <v>84</v>
      </c>
      <c r="B41" s="89" t="s">
        <v>77</v>
      </c>
      <c r="C41" s="76"/>
      <c r="D41" s="76"/>
      <c r="E41" s="100">
        <v>3392470322</v>
      </c>
      <c r="F41" s="100">
        <v>7542121214</v>
      </c>
      <c r="G41" s="100">
        <v>10934591536</v>
      </c>
      <c r="H41" s="96">
        <v>16301</v>
      </c>
      <c r="I41" s="100">
        <v>659930692</v>
      </c>
      <c r="J41" s="100">
        <v>12303750723</v>
      </c>
      <c r="K41" s="100">
        <v>12963681415</v>
      </c>
      <c r="L41" s="96">
        <v>17053</v>
      </c>
    </row>
    <row r="42" spans="1:24" ht="15" customHeight="1">
      <c r="A42" s="86" t="s">
        <v>84</v>
      </c>
      <c r="B42" s="90" t="s">
        <v>78</v>
      </c>
      <c r="C42" s="77"/>
      <c r="D42" s="77"/>
      <c r="E42" s="101">
        <v>9202701116</v>
      </c>
      <c r="F42" s="101">
        <v>17977823037</v>
      </c>
      <c r="G42" s="101">
        <v>27180524153</v>
      </c>
      <c r="H42" s="97">
        <v>52971</v>
      </c>
      <c r="I42" s="101">
        <v>2783641402</v>
      </c>
      <c r="J42" s="101">
        <v>29732103558</v>
      </c>
      <c r="K42" s="101">
        <v>32515744960</v>
      </c>
      <c r="L42" s="97">
        <v>55830</v>
      </c>
    </row>
    <row r="43" spans="1:24" ht="15" customHeight="1">
      <c r="A43" s="85" t="s">
        <v>84</v>
      </c>
      <c r="B43" s="89" t="s">
        <v>79</v>
      </c>
      <c r="C43" s="76"/>
      <c r="D43" s="76"/>
      <c r="E43" s="100">
        <v>2713080575</v>
      </c>
      <c r="F43" s="100">
        <v>6830638429</v>
      </c>
      <c r="G43" s="100">
        <v>9543719004</v>
      </c>
      <c r="H43" s="96">
        <v>14764</v>
      </c>
      <c r="I43" s="100">
        <v>421722445</v>
      </c>
      <c r="J43" s="100">
        <v>10004609946</v>
      </c>
      <c r="K43" s="100">
        <v>10426332391</v>
      </c>
      <c r="L43" s="96">
        <v>15240</v>
      </c>
    </row>
    <row r="44" spans="1:24" ht="15" customHeight="1">
      <c r="A44" s="86" t="s">
        <v>84</v>
      </c>
      <c r="B44" s="90" t="s">
        <v>80</v>
      </c>
      <c r="C44" s="77"/>
      <c r="D44" s="77"/>
      <c r="E44" s="101">
        <v>3939300755</v>
      </c>
      <c r="F44" s="101">
        <v>11733767533</v>
      </c>
      <c r="G44" s="101">
        <v>15673068288</v>
      </c>
      <c r="H44" s="97">
        <v>20527</v>
      </c>
      <c r="I44" s="101">
        <v>418203782</v>
      </c>
      <c r="J44" s="101">
        <v>17781912958</v>
      </c>
      <c r="K44" s="101">
        <v>18200116740</v>
      </c>
      <c r="L44" s="97">
        <v>21317</v>
      </c>
    </row>
    <row r="45" spans="1:24" ht="15" customHeight="1" thickBot="1">
      <c r="A45" s="85" t="s">
        <v>84</v>
      </c>
      <c r="B45" s="89" t="s">
        <v>81</v>
      </c>
      <c r="C45" s="76"/>
      <c r="D45" s="76"/>
      <c r="E45" s="100">
        <v>3283872253</v>
      </c>
      <c r="F45" s="100">
        <v>5298172237</v>
      </c>
      <c r="G45" s="100">
        <v>8582044490</v>
      </c>
      <c r="H45" s="96">
        <v>7146</v>
      </c>
      <c r="I45" s="100">
        <v>674474064</v>
      </c>
      <c r="J45" s="100">
        <v>8599208136</v>
      </c>
      <c r="K45" s="100">
        <v>9273682200</v>
      </c>
      <c r="L45" s="96">
        <v>7467</v>
      </c>
    </row>
    <row r="46" spans="1:24" ht="15" customHeight="1">
      <c r="A46" s="83" t="s">
        <v>15</v>
      </c>
      <c r="B46" s="88" t="s">
        <v>5</v>
      </c>
      <c r="C46" s="75"/>
      <c r="D46" s="75"/>
      <c r="E46" s="99">
        <f>SUM(E47:E59)</f>
        <v>622313596820</v>
      </c>
      <c r="F46" s="99">
        <f t="shared" ref="F46:X46" si="6">SUM(F47:F59)</f>
        <v>1148137431940</v>
      </c>
      <c r="G46" s="99">
        <f t="shared" si="6"/>
        <v>1770451028760</v>
      </c>
      <c r="H46" s="95">
        <f t="shared" si="6"/>
        <v>2610964</v>
      </c>
      <c r="I46" s="99">
        <f t="shared" si="6"/>
        <v>268604442243</v>
      </c>
      <c r="J46" s="99">
        <f t="shared" si="6"/>
        <v>1904531868884</v>
      </c>
      <c r="K46" s="99">
        <f t="shared" si="6"/>
        <v>2173136311127</v>
      </c>
      <c r="L46" s="95">
        <f t="shared" si="6"/>
        <v>2756139</v>
      </c>
      <c r="M46" s="99"/>
      <c r="N46" s="99"/>
      <c r="O46" s="99"/>
      <c r="P46" s="95"/>
      <c r="Q46" s="99">
        <f t="shared" si="6"/>
        <v>0</v>
      </c>
      <c r="R46" s="99">
        <f t="shared" si="6"/>
        <v>0</v>
      </c>
      <c r="S46" s="99">
        <f t="shared" si="6"/>
        <v>0</v>
      </c>
      <c r="T46" s="95">
        <f t="shared" si="6"/>
        <v>0</v>
      </c>
      <c r="U46" s="99">
        <f t="shared" si="6"/>
        <v>0</v>
      </c>
      <c r="V46" s="99">
        <f t="shared" si="6"/>
        <v>0</v>
      </c>
      <c r="W46" s="99">
        <f t="shared" si="6"/>
        <v>0</v>
      </c>
      <c r="X46" s="95">
        <f t="shared" si="6"/>
        <v>0</v>
      </c>
    </row>
    <row r="47" spans="1:24" ht="15" customHeight="1">
      <c r="A47" s="85" t="s">
        <v>15</v>
      </c>
      <c r="B47" s="89" t="s">
        <v>21</v>
      </c>
      <c r="C47" s="76">
        <v>0</v>
      </c>
      <c r="D47" s="76"/>
      <c r="E47" s="100">
        <v>382921597728</v>
      </c>
      <c r="F47" s="100">
        <v>714292621400</v>
      </c>
      <c r="G47" s="100">
        <v>1097214219128</v>
      </c>
      <c r="H47" s="96">
        <v>1683884</v>
      </c>
      <c r="I47" s="100">
        <v>167836925564</v>
      </c>
      <c r="J47" s="100">
        <v>1171527413861</v>
      </c>
      <c r="K47" s="100">
        <v>1339364339425</v>
      </c>
      <c r="L47" s="96">
        <v>1771507</v>
      </c>
    </row>
    <row r="48" spans="1:24" ht="15" customHeight="1">
      <c r="A48" s="86" t="s">
        <v>15</v>
      </c>
      <c r="B48" s="90" t="s">
        <v>22</v>
      </c>
      <c r="C48" s="77">
        <v>1</v>
      </c>
      <c r="D48" s="77"/>
      <c r="E48" s="101">
        <v>125982264427</v>
      </c>
      <c r="F48" s="101">
        <v>231099438661</v>
      </c>
      <c r="G48" s="101">
        <v>357081703088</v>
      </c>
      <c r="H48" s="97">
        <v>463848</v>
      </c>
      <c r="I48" s="101">
        <v>49351414306</v>
      </c>
      <c r="J48" s="101">
        <v>377959198192</v>
      </c>
      <c r="K48" s="101">
        <v>427310612498</v>
      </c>
      <c r="L48" s="97">
        <v>488934</v>
      </c>
    </row>
    <row r="49" spans="1:12" ht="15" customHeight="1">
      <c r="A49" s="85" t="s">
        <v>15</v>
      </c>
      <c r="B49" s="89" t="s">
        <v>23</v>
      </c>
      <c r="C49" s="76">
        <v>3</v>
      </c>
      <c r="D49" s="76"/>
      <c r="E49" s="100">
        <v>58752542698</v>
      </c>
      <c r="F49" s="100">
        <v>125100609048</v>
      </c>
      <c r="G49" s="100">
        <v>183853151746</v>
      </c>
      <c r="H49" s="96">
        <v>264513</v>
      </c>
      <c r="I49" s="100">
        <v>21935439070</v>
      </c>
      <c r="J49" s="100">
        <v>216318315544</v>
      </c>
      <c r="K49" s="100">
        <v>238253754614</v>
      </c>
      <c r="L49" s="96">
        <v>286844</v>
      </c>
    </row>
    <row r="50" spans="1:12" ht="15" customHeight="1">
      <c r="A50" s="86" t="s">
        <v>15</v>
      </c>
      <c r="B50" s="90" t="s">
        <v>24</v>
      </c>
      <c r="C50" s="77">
        <v>6</v>
      </c>
      <c r="D50" s="77"/>
      <c r="E50" s="101">
        <v>34370920890</v>
      </c>
      <c r="F50" s="101">
        <v>47630749986</v>
      </c>
      <c r="G50" s="101">
        <v>82001670876</v>
      </c>
      <c r="H50" s="97">
        <v>91598</v>
      </c>
      <c r="I50" s="101">
        <v>18446255500</v>
      </c>
      <c r="J50" s="101">
        <v>90832388379</v>
      </c>
      <c r="K50" s="101">
        <v>109278643879</v>
      </c>
      <c r="L50" s="97">
        <v>97478</v>
      </c>
    </row>
    <row r="51" spans="1:12" ht="15" customHeight="1">
      <c r="A51" s="85" t="s">
        <v>15</v>
      </c>
      <c r="B51" s="89" t="s">
        <v>25</v>
      </c>
      <c r="C51" s="76">
        <v>7</v>
      </c>
      <c r="D51" s="76"/>
      <c r="E51" s="100">
        <v>9216288825</v>
      </c>
      <c r="F51" s="100">
        <v>17647045899</v>
      </c>
      <c r="G51" s="100">
        <v>26863334724</v>
      </c>
      <c r="H51" s="96">
        <v>61989</v>
      </c>
      <c r="I51" s="100">
        <v>4952008339</v>
      </c>
      <c r="J51" s="100">
        <v>24673263249</v>
      </c>
      <c r="K51" s="100">
        <v>29625271588</v>
      </c>
      <c r="L51" s="96">
        <v>63284</v>
      </c>
    </row>
    <row r="52" spans="1:12" ht="15" customHeight="1">
      <c r="A52" s="86" t="s">
        <v>15</v>
      </c>
      <c r="B52" s="90" t="s">
        <v>28</v>
      </c>
      <c r="C52" s="77">
        <v>8</v>
      </c>
      <c r="D52" s="77"/>
      <c r="E52" s="101">
        <v>444510955</v>
      </c>
      <c r="F52" s="101">
        <v>543025103</v>
      </c>
      <c r="G52" s="101">
        <v>987536058</v>
      </c>
      <c r="H52" s="97">
        <v>3335</v>
      </c>
      <c r="I52" s="101">
        <v>245843973</v>
      </c>
      <c r="J52" s="101">
        <v>722669168</v>
      </c>
      <c r="K52" s="101">
        <v>968513141</v>
      </c>
      <c r="L52" s="97">
        <v>3439</v>
      </c>
    </row>
    <row r="53" spans="1:12" ht="15" customHeight="1">
      <c r="A53" s="85" t="s">
        <v>15</v>
      </c>
      <c r="B53" s="89" t="s">
        <v>26</v>
      </c>
      <c r="C53" s="76">
        <v>9</v>
      </c>
      <c r="D53" s="76"/>
      <c r="E53" s="100">
        <v>1848364257</v>
      </c>
      <c r="F53" s="100">
        <v>2572425589</v>
      </c>
      <c r="G53" s="100">
        <v>4420789846</v>
      </c>
      <c r="H53" s="96">
        <v>2948</v>
      </c>
      <c r="I53" s="100">
        <v>359774117</v>
      </c>
      <c r="J53" s="100">
        <v>4662327303</v>
      </c>
      <c r="K53" s="100">
        <v>5022101420</v>
      </c>
      <c r="L53" s="96">
        <v>3106</v>
      </c>
    </row>
    <row r="54" spans="1:12" ht="15" customHeight="1">
      <c r="A54" s="86" t="s">
        <v>15</v>
      </c>
      <c r="B54" s="90" t="s">
        <v>27</v>
      </c>
      <c r="C54" s="77">
        <v>10</v>
      </c>
      <c r="D54" s="77"/>
      <c r="E54" s="101">
        <v>4138883091</v>
      </c>
      <c r="F54" s="101">
        <v>4576799170</v>
      </c>
      <c r="G54" s="101">
        <v>8715682261</v>
      </c>
      <c r="H54" s="97">
        <v>15618</v>
      </c>
      <c r="I54" s="101">
        <v>1740678444</v>
      </c>
      <c r="J54" s="101">
        <v>8127560175</v>
      </c>
      <c r="K54" s="101">
        <v>9868238619</v>
      </c>
      <c r="L54" s="97">
        <v>16664</v>
      </c>
    </row>
    <row r="55" spans="1:12" ht="15" customHeight="1">
      <c r="A55" s="85" t="s">
        <v>15</v>
      </c>
      <c r="B55" s="89" t="s">
        <v>29</v>
      </c>
      <c r="C55" s="76">
        <v>20</v>
      </c>
      <c r="D55" s="76"/>
      <c r="E55" s="100">
        <v>564791663</v>
      </c>
      <c r="F55" s="100">
        <v>264655338</v>
      </c>
      <c r="G55" s="100">
        <v>829447001</v>
      </c>
      <c r="H55" s="96">
        <v>6620</v>
      </c>
      <c r="I55" s="100">
        <v>730724718</v>
      </c>
      <c r="J55" s="100">
        <v>1238815734</v>
      </c>
      <c r="K55" s="100">
        <v>1969540452</v>
      </c>
      <c r="L55" s="96">
        <v>7303</v>
      </c>
    </row>
    <row r="56" spans="1:12" ht="15" customHeight="1">
      <c r="A56" s="86" t="s">
        <v>15</v>
      </c>
      <c r="B56" s="90" t="s">
        <v>30</v>
      </c>
      <c r="C56" s="77">
        <v>21</v>
      </c>
      <c r="D56" s="77"/>
      <c r="E56" s="101">
        <v>1005950261</v>
      </c>
      <c r="F56" s="101">
        <v>646223907</v>
      </c>
      <c r="G56" s="101">
        <v>1652174168</v>
      </c>
      <c r="H56" s="97">
        <v>4197</v>
      </c>
      <c r="I56" s="101">
        <v>1215317132</v>
      </c>
      <c r="J56" s="101">
        <v>1545469986</v>
      </c>
      <c r="K56" s="101">
        <v>2760787118</v>
      </c>
      <c r="L56" s="97">
        <v>4430</v>
      </c>
    </row>
    <row r="57" spans="1:12" ht="15" customHeight="1">
      <c r="A57" s="85" t="s">
        <v>15</v>
      </c>
      <c r="B57" s="89" t="s">
        <v>16</v>
      </c>
      <c r="C57" s="76" t="s">
        <v>16</v>
      </c>
      <c r="D57" s="76"/>
      <c r="E57" s="100">
        <v>401776624</v>
      </c>
      <c r="F57" s="100">
        <v>42559726</v>
      </c>
      <c r="G57" s="100">
        <v>444336350</v>
      </c>
      <c r="H57" s="96">
        <v>2706</v>
      </c>
      <c r="I57" s="100">
        <v>311315217</v>
      </c>
      <c r="J57" s="100">
        <v>807064206</v>
      </c>
      <c r="K57" s="100">
        <v>1118379423</v>
      </c>
      <c r="L57" s="96">
        <v>3075</v>
      </c>
    </row>
    <row r="58" spans="1:12" ht="15" customHeight="1">
      <c r="A58" s="86" t="s">
        <v>15</v>
      </c>
      <c r="B58" s="90" t="s">
        <v>17</v>
      </c>
      <c r="C58" s="77" t="s">
        <v>17</v>
      </c>
      <c r="D58" s="77"/>
      <c r="E58" s="101">
        <v>2131058865</v>
      </c>
      <c r="F58" s="101">
        <v>3270774896</v>
      </c>
      <c r="G58" s="101">
        <v>5401833761</v>
      </c>
      <c r="H58" s="97">
        <v>7113</v>
      </c>
      <c r="I58" s="101">
        <v>942679662</v>
      </c>
      <c r="J58" s="101">
        <v>5175600055</v>
      </c>
      <c r="K58" s="101">
        <v>6118279717</v>
      </c>
      <c r="L58" s="97">
        <v>7299</v>
      </c>
    </row>
    <row r="59" spans="1:12" ht="15" customHeight="1" thickBot="1">
      <c r="A59" s="85" t="s">
        <v>15</v>
      </c>
      <c r="B59" s="89" t="s">
        <v>18</v>
      </c>
      <c r="C59" s="76" t="s">
        <v>18</v>
      </c>
      <c r="D59" s="76"/>
      <c r="E59" s="100">
        <v>534646536</v>
      </c>
      <c r="F59" s="100">
        <v>450503217</v>
      </c>
      <c r="G59" s="100">
        <v>985149753</v>
      </c>
      <c r="H59" s="96">
        <v>2595</v>
      </c>
      <c r="I59" s="100">
        <v>536066201</v>
      </c>
      <c r="J59" s="100">
        <v>941783032</v>
      </c>
      <c r="K59" s="100">
        <v>1477849233</v>
      </c>
      <c r="L59" s="96">
        <v>2776</v>
      </c>
    </row>
    <row r="60" spans="1:12" ht="15" customHeight="1">
      <c r="A60" s="83" t="s">
        <v>56</v>
      </c>
      <c r="B60" s="88" t="s">
        <v>5</v>
      </c>
      <c r="C60" s="75"/>
      <c r="D60" s="75"/>
      <c r="E60" s="99">
        <f>SUM(E61:E177)</f>
        <v>622313596820</v>
      </c>
      <c r="F60" s="99">
        <f t="shared" ref="F60:L60" si="7">SUM(F61:F177)</f>
        <v>1148137431940</v>
      </c>
      <c r="G60" s="99">
        <f t="shared" si="7"/>
        <v>1770451028760</v>
      </c>
      <c r="H60" s="95">
        <f t="shared" si="7"/>
        <v>3401281</v>
      </c>
      <c r="I60" s="99">
        <f>SUM(I61:I177)</f>
        <v>268604442243</v>
      </c>
      <c r="J60" s="99">
        <f t="shared" si="7"/>
        <v>1904531868884</v>
      </c>
      <c r="K60" s="99">
        <f t="shared" si="7"/>
        <v>2173136311127</v>
      </c>
      <c r="L60" s="95">
        <f t="shared" si="7"/>
        <v>3593470</v>
      </c>
    </row>
    <row r="61" spans="1:12" ht="15" customHeight="1">
      <c r="A61" s="85" t="s">
        <v>56</v>
      </c>
      <c r="B61" s="89"/>
      <c r="C61" s="76">
        <v>0</v>
      </c>
      <c r="D61" s="76">
        <v>1</v>
      </c>
      <c r="E61" s="100">
        <v>2983453555</v>
      </c>
      <c r="F61" s="100">
        <v>1027853238</v>
      </c>
      <c r="G61" s="100">
        <v>4011306793</v>
      </c>
      <c r="H61" s="96">
        <v>9486</v>
      </c>
      <c r="I61" s="100">
        <v>4756189069</v>
      </c>
      <c r="J61" s="100">
        <v>4162255933</v>
      </c>
      <c r="K61" s="100">
        <v>8918445002</v>
      </c>
      <c r="L61" s="96">
        <v>10221</v>
      </c>
    </row>
    <row r="62" spans="1:12" ht="15" customHeight="1">
      <c r="A62" s="86" t="s">
        <v>56</v>
      </c>
      <c r="B62" s="90"/>
      <c r="C62" s="77">
        <v>0</v>
      </c>
      <c r="D62" s="77">
        <v>2</v>
      </c>
      <c r="E62" s="101">
        <v>42881324907</v>
      </c>
      <c r="F62" s="101">
        <v>36500091449</v>
      </c>
      <c r="G62" s="101">
        <v>79381416356</v>
      </c>
      <c r="H62" s="97">
        <v>117348</v>
      </c>
      <c r="I62" s="101">
        <v>84311306461</v>
      </c>
      <c r="J62" s="101">
        <v>112274158724</v>
      </c>
      <c r="K62" s="101">
        <v>196585465185</v>
      </c>
      <c r="L62" s="97">
        <v>130433</v>
      </c>
    </row>
    <row r="63" spans="1:12" ht="15" customHeight="1">
      <c r="A63" s="85" t="s">
        <v>56</v>
      </c>
      <c r="B63" s="89"/>
      <c r="C63" s="76">
        <v>0</v>
      </c>
      <c r="D63" s="76">
        <v>3</v>
      </c>
      <c r="E63" s="100">
        <v>102121359985</v>
      </c>
      <c r="F63" s="100">
        <v>112480694383</v>
      </c>
      <c r="G63" s="100">
        <v>214602054368</v>
      </c>
      <c r="H63" s="96">
        <v>945911</v>
      </c>
      <c r="I63" s="100">
        <v>55200527055</v>
      </c>
      <c r="J63" s="100">
        <v>212292088815</v>
      </c>
      <c r="K63" s="100">
        <v>267492615870</v>
      </c>
      <c r="L63" s="96">
        <v>977901</v>
      </c>
    </row>
    <row r="64" spans="1:12" ht="15" customHeight="1">
      <c r="A64" s="86" t="s">
        <v>56</v>
      </c>
      <c r="B64" s="90"/>
      <c r="C64" s="77">
        <v>0</v>
      </c>
      <c r="D64" s="77">
        <v>4</v>
      </c>
      <c r="E64" s="101">
        <v>8854697841</v>
      </c>
      <c r="F64" s="101">
        <v>66568843133</v>
      </c>
      <c r="G64" s="101">
        <v>75423540974</v>
      </c>
      <c r="H64" s="97">
        <v>239199</v>
      </c>
      <c r="I64" s="101">
        <v>676462831</v>
      </c>
      <c r="J64" s="101">
        <v>77847471644</v>
      </c>
      <c r="K64" s="101">
        <v>78523934475</v>
      </c>
      <c r="L64" s="97">
        <v>252846</v>
      </c>
    </row>
    <row r="65" spans="1:12" ht="15" customHeight="1">
      <c r="A65" s="85" t="s">
        <v>56</v>
      </c>
      <c r="B65" s="89"/>
      <c r="C65" s="76">
        <v>0</v>
      </c>
      <c r="D65" s="76">
        <v>5</v>
      </c>
      <c r="E65" s="100">
        <v>50414005873</v>
      </c>
      <c r="F65" s="100">
        <v>102438358531</v>
      </c>
      <c r="G65" s="100">
        <v>152852364404</v>
      </c>
      <c r="H65" s="96">
        <v>34628</v>
      </c>
      <c r="I65" s="100">
        <v>2389569421</v>
      </c>
      <c r="J65" s="100">
        <v>156911057670</v>
      </c>
      <c r="K65" s="100">
        <v>159300627091</v>
      </c>
      <c r="L65" s="96">
        <v>36827</v>
      </c>
    </row>
    <row r="66" spans="1:12" ht="15" customHeight="1">
      <c r="A66" s="86" t="s">
        <v>56</v>
      </c>
      <c r="B66" s="90"/>
      <c r="C66" s="77">
        <v>0</v>
      </c>
      <c r="D66" s="77">
        <v>6</v>
      </c>
      <c r="E66" s="101">
        <v>1731667285</v>
      </c>
      <c r="F66" s="101">
        <v>1988220589</v>
      </c>
      <c r="G66" s="101">
        <v>3719887874</v>
      </c>
      <c r="H66" s="97">
        <v>3163</v>
      </c>
      <c r="I66" s="101">
        <v>110628490</v>
      </c>
      <c r="J66" s="101">
        <v>2949195851</v>
      </c>
      <c r="K66" s="101">
        <v>3059824341</v>
      </c>
      <c r="L66" s="97">
        <v>3367</v>
      </c>
    </row>
    <row r="67" spans="1:12" ht="15" customHeight="1">
      <c r="A67" s="85" t="s">
        <v>56</v>
      </c>
      <c r="B67" s="89"/>
      <c r="C67" s="76">
        <v>0</v>
      </c>
      <c r="D67" s="76">
        <v>7</v>
      </c>
      <c r="E67" s="100">
        <v>4379260665</v>
      </c>
      <c r="F67" s="100">
        <v>9052301264</v>
      </c>
      <c r="G67" s="100">
        <v>13431561929</v>
      </c>
      <c r="H67" s="96">
        <v>3031</v>
      </c>
      <c r="I67" s="100">
        <v>351696869</v>
      </c>
      <c r="J67" s="100">
        <v>15622219894</v>
      </c>
      <c r="K67" s="100">
        <v>15973916763</v>
      </c>
      <c r="L67" s="96">
        <v>3390</v>
      </c>
    </row>
    <row r="68" spans="1:12" ht="15" customHeight="1">
      <c r="A68" s="86" t="s">
        <v>56</v>
      </c>
      <c r="B68" s="90"/>
      <c r="C68" s="77">
        <v>0</v>
      </c>
      <c r="D68" s="77">
        <v>8</v>
      </c>
      <c r="E68" s="101">
        <v>121937351382</v>
      </c>
      <c r="F68" s="101">
        <v>316250488428</v>
      </c>
      <c r="G68" s="101">
        <v>438187839810</v>
      </c>
      <c r="H68" s="97">
        <v>861830</v>
      </c>
      <c r="I68" s="101">
        <v>10744910135</v>
      </c>
      <c r="J68" s="101">
        <v>463622982491</v>
      </c>
      <c r="K68" s="101">
        <v>474367892626</v>
      </c>
      <c r="L68" s="97">
        <v>914361</v>
      </c>
    </row>
    <row r="69" spans="1:12" ht="15" customHeight="1">
      <c r="A69" s="85" t="s">
        <v>56</v>
      </c>
      <c r="B69" s="89"/>
      <c r="C69" s="76">
        <v>0</v>
      </c>
      <c r="D69" s="76">
        <v>9</v>
      </c>
      <c r="E69" s="100">
        <v>47618476235</v>
      </c>
      <c r="F69" s="100">
        <v>67985770385</v>
      </c>
      <c r="G69" s="100">
        <v>115604246620</v>
      </c>
      <c r="H69" s="96">
        <v>25223</v>
      </c>
      <c r="I69" s="100">
        <v>9295635233</v>
      </c>
      <c r="J69" s="100">
        <v>125845982839</v>
      </c>
      <c r="K69" s="100">
        <v>135141618072</v>
      </c>
      <c r="L69" s="96">
        <v>28960</v>
      </c>
    </row>
    <row r="70" spans="1:12" ht="15" customHeight="1">
      <c r="A70" s="86" t="s">
        <v>56</v>
      </c>
      <c r="B70" s="90"/>
      <c r="C70" s="77">
        <v>1</v>
      </c>
      <c r="D70" s="77">
        <v>1</v>
      </c>
      <c r="E70" s="101">
        <v>1006025471</v>
      </c>
      <c r="F70" s="101">
        <v>412911273</v>
      </c>
      <c r="G70" s="101">
        <v>1418936744</v>
      </c>
      <c r="H70" s="97">
        <v>2479</v>
      </c>
      <c r="I70" s="101">
        <v>1569031020</v>
      </c>
      <c r="J70" s="101">
        <v>1179576151</v>
      </c>
      <c r="K70" s="101">
        <v>2748607171</v>
      </c>
      <c r="L70" s="97">
        <v>2735</v>
      </c>
    </row>
    <row r="71" spans="1:12" ht="15" customHeight="1">
      <c r="A71" s="85" t="s">
        <v>56</v>
      </c>
      <c r="B71" s="89"/>
      <c r="C71" s="76">
        <v>1</v>
      </c>
      <c r="D71" s="76">
        <v>2</v>
      </c>
      <c r="E71" s="100">
        <v>11540564131</v>
      </c>
      <c r="F71" s="100">
        <v>8845555726</v>
      </c>
      <c r="G71" s="100">
        <v>20386119857</v>
      </c>
      <c r="H71" s="96">
        <v>28232</v>
      </c>
      <c r="I71" s="100">
        <v>22036317315</v>
      </c>
      <c r="J71" s="100">
        <v>30169175675</v>
      </c>
      <c r="K71" s="100">
        <v>52205492990</v>
      </c>
      <c r="L71" s="96">
        <v>31411</v>
      </c>
    </row>
    <row r="72" spans="1:12" ht="15" customHeight="1">
      <c r="A72" s="86" t="s">
        <v>56</v>
      </c>
      <c r="B72" s="90"/>
      <c r="C72" s="77">
        <v>1</v>
      </c>
      <c r="D72" s="77">
        <v>3</v>
      </c>
      <c r="E72" s="101">
        <v>28309077151</v>
      </c>
      <c r="F72" s="101">
        <v>37657216084</v>
      </c>
      <c r="G72" s="101">
        <v>65966293235</v>
      </c>
      <c r="H72" s="97">
        <v>236351</v>
      </c>
      <c r="I72" s="101">
        <v>15255242883</v>
      </c>
      <c r="J72" s="101">
        <v>69426504299</v>
      </c>
      <c r="K72" s="101">
        <v>84681747182</v>
      </c>
      <c r="L72" s="97">
        <v>245446</v>
      </c>
    </row>
    <row r="73" spans="1:12" ht="15" customHeight="1">
      <c r="A73" s="85" t="s">
        <v>56</v>
      </c>
      <c r="B73" s="89"/>
      <c r="C73" s="76">
        <v>1</v>
      </c>
      <c r="D73" s="76">
        <v>4</v>
      </c>
      <c r="E73" s="100">
        <v>4151527657</v>
      </c>
      <c r="F73" s="100">
        <v>29258002823</v>
      </c>
      <c r="G73" s="100">
        <v>33409530480</v>
      </c>
      <c r="H73" s="96">
        <v>80273</v>
      </c>
      <c r="I73" s="100">
        <v>459393379</v>
      </c>
      <c r="J73" s="100">
        <v>33817058518</v>
      </c>
      <c r="K73" s="100">
        <v>34276451897</v>
      </c>
      <c r="L73" s="96">
        <v>84814</v>
      </c>
    </row>
    <row r="74" spans="1:12" ht="15" customHeight="1">
      <c r="A74" s="86" t="s">
        <v>56</v>
      </c>
      <c r="B74" s="90"/>
      <c r="C74" s="77">
        <v>1</v>
      </c>
      <c r="D74" s="77">
        <v>5</v>
      </c>
      <c r="E74" s="101">
        <v>17397692300</v>
      </c>
      <c r="F74" s="101">
        <v>35199719651</v>
      </c>
      <c r="G74" s="101">
        <v>52597411951</v>
      </c>
      <c r="H74" s="97">
        <v>6739</v>
      </c>
      <c r="I74" s="101">
        <v>1111299965</v>
      </c>
      <c r="J74" s="101">
        <v>53968571389</v>
      </c>
      <c r="K74" s="101">
        <v>55079871354</v>
      </c>
      <c r="L74" s="97">
        <v>7273</v>
      </c>
    </row>
    <row r="75" spans="1:12" ht="15" customHeight="1">
      <c r="A75" s="85" t="s">
        <v>56</v>
      </c>
      <c r="B75" s="89"/>
      <c r="C75" s="76">
        <v>1</v>
      </c>
      <c r="D75" s="76">
        <v>6</v>
      </c>
      <c r="E75" s="100">
        <v>472652524</v>
      </c>
      <c r="F75" s="100">
        <v>742091324</v>
      </c>
      <c r="G75" s="100">
        <v>1214743848</v>
      </c>
      <c r="H75" s="96">
        <v>925</v>
      </c>
      <c r="I75" s="100">
        <v>24289511</v>
      </c>
      <c r="J75" s="100">
        <v>1194293211</v>
      </c>
      <c r="K75" s="100">
        <v>1218582722</v>
      </c>
      <c r="L75" s="96">
        <v>983</v>
      </c>
    </row>
    <row r="76" spans="1:12" ht="15" customHeight="1">
      <c r="A76" s="86" t="s">
        <v>56</v>
      </c>
      <c r="B76" s="90"/>
      <c r="C76" s="77">
        <v>1</v>
      </c>
      <c r="D76" s="77">
        <v>7</v>
      </c>
      <c r="E76" s="101">
        <v>1956645452</v>
      </c>
      <c r="F76" s="101">
        <v>4010522974</v>
      </c>
      <c r="G76" s="101">
        <v>5967168426</v>
      </c>
      <c r="H76" s="97">
        <v>820</v>
      </c>
      <c r="I76" s="101">
        <v>133284298</v>
      </c>
      <c r="J76" s="101">
        <v>6602079594</v>
      </c>
      <c r="K76" s="101">
        <v>6735363892</v>
      </c>
      <c r="L76" s="97">
        <v>915</v>
      </c>
    </row>
    <row r="77" spans="1:12" ht="15" customHeight="1">
      <c r="A77" s="85" t="s">
        <v>56</v>
      </c>
      <c r="B77" s="89"/>
      <c r="C77" s="76">
        <v>1</v>
      </c>
      <c r="D77" s="76">
        <v>8</v>
      </c>
      <c r="E77" s="100">
        <v>43247123450</v>
      </c>
      <c r="F77" s="100">
        <v>92528255928</v>
      </c>
      <c r="G77" s="100">
        <v>135775379378</v>
      </c>
      <c r="H77" s="96">
        <v>238957</v>
      </c>
      <c r="I77" s="100">
        <v>5859202437</v>
      </c>
      <c r="J77" s="100">
        <v>140266455127</v>
      </c>
      <c r="K77" s="100">
        <v>146125657564</v>
      </c>
      <c r="L77" s="96">
        <v>253768</v>
      </c>
    </row>
    <row r="78" spans="1:12" ht="15" customHeight="1">
      <c r="A78" s="86" t="s">
        <v>56</v>
      </c>
      <c r="B78" s="90"/>
      <c r="C78" s="77">
        <v>1</v>
      </c>
      <c r="D78" s="77">
        <v>9</v>
      </c>
      <c r="E78" s="101">
        <v>17900956291</v>
      </c>
      <c r="F78" s="101">
        <v>22445162878</v>
      </c>
      <c r="G78" s="101">
        <v>40346119169</v>
      </c>
      <c r="H78" s="97">
        <v>5051</v>
      </c>
      <c r="I78" s="101">
        <v>2903353498</v>
      </c>
      <c r="J78" s="101">
        <v>41335484228</v>
      </c>
      <c r="K78" s="101">
        <v>44238837726</v>
      </c>
      <c r="L78" s="97">
        <v>5766</v>
      </c>
    </row>
    <row r="79" spans="1:12" ht="15" customHeight="1">
      <c r="A79" s="85" t="s">
        <v>56</v>
      </c>
      <c r="B79" s="89"/>
      <c r="C79" s="76">
        <v>3</v>
      </c>
      <c r="D79" s="76">
        <v>1</v>
      </c>
      <c r="E79" s="100">
        <v>320950385</v>
      </c>
      <c r="F79" s="100">
        <v>140565553</v>
      </c>
      <c r="G79" s="100">
        <v>461515938</v>
      </c>
      <c r="H79" s="96">
        <v>978</v>
      </c>
      <c r="I79" s="100">
        <v>478137931</v>
      </c>
      <c r="J79" s="100">
        <v>537996087</v>
      </c>
      <c r="K79" s="100">
        <v>1016134018</v>
      </c>
      <c r="L79" s="96">
        <v>1081</v>
      </c>
    </row>
    <row r="80" spans="1:12" ht="15" customHeight="1">
      <c r="A80" s="86" t="s">
        <v>56</v>
      </c>
      <c r="B80" s="90"/>
      <c r="C80" s="77">
        <v>3</v>
      </c>
      <c r="D80" s="77">
        <v>2</v>
      </c>
      <c r="E80" s="101">
        <v>7017041515</v>
      </c>
      <c r="F80" s="101">
        <v>3805822887</v>
      </c>
      <c r="G80" s="101">
        <v>10822864402</v>
      </c>
      <c r="H80" s="97">
        <v>13431</v>
      </c>
      <c r="I80" s="101">
        <v>11199009476</v>
      </c>
      <c r="J80" s="101">
        <v>14691760938</v>
      </c>
      <c r="K80" s="101">
        <v>25890770414</v>
      </c>
      <c r="L80" s="97">
        <v>15262</v>
      </c>
    </row>
    <row r="81" spans="1:12" ht="15" customHeight="1">
      <c r="A81" s="85" t="s">
        <v>56</v>
      </c>
      <c r="B81" s="89"/>
      <c r="C81" s="76">
        <v>3</v>
      </c>
      <c r="D81" s="76">
        <v>3</v>
      </c>
      <c r="E81" s="100">
        <v>13695700861</v>
      </c>
      <c r="F81" s="100">
        <v>22535589127</v>
      </c>
      <c r="G81" s="100">
        <v>36231289988</v>
      </c>
      <c r="H81" s="96">
        <v>137135</v>
      </c>
      <c r="I81" s="100">
        <v>6243466412</v>
      </c>
      <c r="J81" s="100">
        <v>41602440552</v>
      </c>
      <c r="K81" s="100">
        <v>47845906964</v>
      </c>
      <c r="L81" s="96">
        <v>144598</v>
      </c>
    </row>
    <row r="82" spans="1:12" ht="15" customHeight="1">
      <c r="A82" s="86" t="s">
        <v>56</v>
      </c>
      <c r="B82" s="90"/>
      <c r="C82" s="77">
        <v>3</v>
      </c>
      <c r="D82" s="77">
        <v>4</v>
      </c>
      <c r="E82" s="101">
        <v>1387399711</v>
      </c>
      <c r="F82" s="101">
        <v>20489492307</v>
      </c>
      <c r="G82" s="101">
        <v>21876892018</v>
      </c>
      <c r="H82" s="97">
        <v>46454</v>
      </c>
      <c r="I82" s="101">
        <v>61292695</v>
      </c>
      <c r="J82" s="101">
        <v>24283157816</v>
      </c>
      <c r="K82" s="101">
        <v>24344450511</v>
      </c>
      <c r="L82" s="97">
        <v>50082</v>
      </c>
    </row>
    <row r="83" spans="1:12" ht="15" customHeight="1">
      <c r="A83" s="85" t="s">
        <v>56</v>
      </c>
      <c r="B83" s="89"/>
      <c r="C83" s="76">
        <v>3</v>
      </c>
      <c r="D83" s="76">
        <v>5</v>
      </c>
      <c r="E83" s="100">
        <v>10483923378</v>
      </c>
      <c r="F83" s="100">
        <v>20475926673</v>
      </c>
      <c r="G83" s="100">
        <v>30959850051</v>
      </c>
      <c r="H83" s="96">
        <v>3357</v>
      </c>
      <c r="I83" s="100">
        <v>324831781</v>
      </c>
      <c r="J83" s="100">
        <v>36420088118</v>
      </c>
      <c r="K83" s="100">
        <v>36744919899</v>
      </c>
      <c r="L83" s="96">
        <v>3676</v>
      </c>
    </row>
    <row r="84" spans="1:12" ht="15" customHeight="1">
      <c r="A84" s="86" t="s">
        <v>56</v>
      </c>
      <c r="B84" s="90"/>
      <c r="C84" s="77">
        <v>3</v>
      </c>
      <c r="D84" s="77">
        <v>6</v>
      </c>
      <c r="E84" s="101">
        <v>226911494</v>
      </c>
      <c r="F84" s="101">
        <v>619946825</v>
      </c>
      <c r="G84" s="101">
        <v>846858319</v>
      </c>
      <c r="H84" s="97">
        <v>421</v>
      </c>
      <c r="I84" s="101">
        <v>13870653</v>
      </c>
      <c r="J84" s="101">
        <v>877744222</v>
      </c>
      <c r="K84" s="101">
        <v>891614875</v>
      </c>
      <c r="L84" s="97">
        <v>456</v>
      </c>
    </row>
    <row r="85" spans="1:12" ht="15" customHeight="1">
      <c r="A85" s="85" t="s">
        <v>56</v>
      </c>
      <c r="B85" s="89"/>
      <c r="C85" s="76">
        <v>3</v>
      </c>
      <c r="D85" s="76">
        <v>7</v>
      </c>
      <c r="E85" s="100">
        <v>1222735392</v>
      </c>
      <c r="F85" s="100">
        <v>2392804991</v>
      </c>
      <c r="G85" s="100">
        <v>3615540383</v>
      </c>
      <c r="H85" s="96">
        <v>376</v>
      </c>
      <c r="I85" s="100">
        <v>65224807</v>
      </c>
      <c r="J85" s="100">
        <v>4470645238</v>
      </c>
      <c r="K85" s="100">
        <v>4535870045</v>
      </c>
      <c r="L85" s="96">
        <v>434</v>
      </c>
    </row>
    <row r="86" spans="1:12" ht="15" customHeight="1">
      <c r="A86" s="86" t="s">
        <v>56</v>
      </c>
      <c r="B86" s="90"/>
      <c r="C86" s="77">
        <v>3</v>
      </c>
      <c r="D86" s="77">
        <v>8</v>
      </c>
      <c r="E86" s="101">
        <v>14266708135</v>
      </c>
      <c r="F86" s="101">
        <v>44280335813</v>
      </c>
      <c r="G86" s="101">
        <v>58547043948</v>
      </c>
      <c r="H86" s="97">
        <v>128841</v>
      </c>
      <c r="I86" s="101">
        <v>1227723194</v>
      </c>
      <c r="J86" s="101">
        <v>71884800374</v>
      </c>
      <c r="K86" s="101">
        <v>73112523568</v>
      </c>
      <c r="L86" s="97">
        <v>142418</v>
      </c>
    </row>
    <row r="87" spans="1:12" ht="15" customHeight="1">
      <c r="A87" s="85" t="s">
        <v>56</v>
      </c>
      <c r="B87" s="89"/>
      <c r="C87" s="76">
        <v>3</v>
      </c>
      <c r="D87" s="76">
        <v>9</v>
      </c>
      <c r="E87" s="100">
        <v>10131171827</v>
      </c>
      <c r="F87" s="100">
        <v>10360124872</v>
      </c>
      <c r="G87" s="100">
        <v>20491296699</v>
      </c>
      <c r="H87" s="96">
        <v>1777</v>
      </c>
      <c r="I87" s="100">
        <v>2321882121</v>
      </c>
      <c r="J87" s="100">
        <v>21549682199</v>
      </c>
      <c r="K87" s="100">
        <v>23871564320</v>
      </c>
      <c r="L87" s="96">
        <v>2113</v>
      </c>
    </row>
    <row r="88" spans="1:12" ht="15" customHeight="1">
      <c r="A88" s="86" t="s">
        <v>56</v>
      </c>
      <c r="B88" s="90"/>
      <c r="C88" s="77">
        <v>6</v>
      </c>
      <c r="D88" s="77">
        <v>1</v>
      </c>
      <c r="E88" s="101">
        <v>157314867</v>
      </c>
      <c r="F88" s="101">
        <v>39468561</v>
      </c>
      <c r="G88" s="101">
        <v>196783428</v>
      </c>
      <c r="H88" s="97">
        <v>333</v>
      </c>
      <c r="I88" s="101">
        <v>454052378</v>
      </c>
      <c r="J88" s="101">
        <v>357751523</v>
      </c>
      <c r="K88" s="101">
        <v>811803901</v>
      </c>
      <c r="L88" s="97">
        <v>409</v>
      </c>
    </row>
    <row r="89" spans="1:12" ht="15" customHeight="1">
      <c r="A89" s="85" t="s">
        <v>56</v>
      </c>
      <c r="B89" s="89"/>
      <c r="C89" s="76">
        <v>6</v>
      </c>
      <c r="D89" s="76">
        <v>2</v>
      </c>
      <c r="E89" s="100">
        <v>4269279918</v>
      </c>
      <c r="F89" s="100">
        <v>2916868659</v>
      </c>
      <c r="G89" s="100">
        <v>7186148577</v>
      </c>
      <c r="H89" s="96">
        <v>6264</v>
      </c>
      <c r="I89" s="100">
        <v>8560261918</v>
      </c>
      <c r="J89" s="100">
        <v>9787077680</v>
      </c>
      <c r="K89" s="100">
        <v>18347339598</v>
      </c>
      <c r="L89" s="96">
        <v>7576</v>
      </c>
    </row>
    <row r="90" spans="1:12" ht="15" customHeight="1">
      <c r="A90" s="86" t="s">
        <v>56</v>
      </c>
      <c r="B90" s="90"/>
      <c r="C90" s="77">
        <v>6</v>
      </c>
      <c r="D90" s="77">
        <v>3</v>
      </c>
      <c r="E90" s="101">
        <v>13316842306</v>
      </c>
      <c r="F90" s="101">
        <v>19935826609</v>
      </c>
      <c r="G90" s="101">
        <v>33252668915</v>
      </c>
      <c r="H90" s="97">
        <v>81780</v>
      </c>
      <c r="I90" s="101">
        <v>7481276440</v>
      </c>
      <c r="J90" s="101">
        <v>37140837959</v>
      </c>
      <c r="K90" s="101">
        <v>44622114399</v>
      </c>
      <c r="L90" s="97">
        <v>87116</v>
      </c>
    </row>
    <row r="91" spans="1:12" ht="15" customHeight="1">
      <c r="A91" s="85" t="s">
        <v>56</v>
      </c>
      <c r="B91" s="89"/>
      <c r="C91" s="76">
        <v>6</v>
      </c>
      <c r="D91" s="76">
        <v>4</v>
      </c>
      <c r="E91" s="100">
        <v>168306530</v>
      </c>
      <c r="F91" s="100">
        <v>944207687</v>
      </c>
      <c r="G91" s="100">
        <v>1112514217</v>
      </c>
      <c r="H91" s="96">
        <v>1881</v>
      </c>
      <c r="I91" s="100">
        <v>19100182</v>
      </c>
      <c r="J91" s="100">
        <v>1174218278</v>
      </c>
      <c r="K91" s="100">
        <v>1193318460</v>
      </c>
      <c r="L91" s="96">
        <v>1992</v>
      </c>
    </row>
    <row r="92" spans="1:12" ht="15" customHeight="1">
      <c r="A92" s="86" t="s">
        <v>56</v>
      </c>
      <c r="B92" s="90"/>
      <c r="C92" s="77">
        <v>6</v>
      </c>
      <c r="D92" s="77">
        <v>5</v>
      </c>
      <c r="E92" s="101">
        <v>4224047816</v>
      </c>
      <c r="F92" s="101">
        <v>6484458504</v>
      </c>
      <c r="G92" s="101">
        <v>10708506320</v>
      </c>
      <c r="H92" s="97">
        <v>477</v>
      </c>
      <c r="I92" s="101">
        <v>114097099</v>
      </c>
      <c r="J92" s="101">
        <v>12141300922</v>
      </c>
      <c r="K92" s="101">
        <v>12255398021</v>
      </c>
      <c r="L92" s="97">
        <v>526</v>
      </c>
    </row>
    <row r="93" spans="1:12" ht="15" customHeight="1">
      <c r="A93" s="85" t="s">
        <v>56</v>
      </c>
      <c r="B93" s="89"/>
      <c r="C93" s="76">
        <v>6</v>
      </c>
      <c r="D93" s="76">
        <v>6</v>
      </c>
      <c r="E93" s="100">
        <v>203453508</v>
      </c>
      <c r="F93" s="100">
        <v>849210379</v>
      </c>
      <c r="G93" s="100">
        <v>1052663887</v>
      </c>
      <c r="H93" s="96">
        <v>243</v>
      </c>
      <c r="I93" s="100">
        <v>29276653</v>
      </c>
      <c r="J93" s="100">
        <v>1120555656</v>
      </c>
      <c r="K93" s="100">
        <v>1149832309</v>
      </c>
      <c r="L93" s="96">
        <v>254</v>
      </c>
    </row>
    <row r="94" spans="1:12" ht="15" customHeight="1">
      <c r="A94" s="86" t="s">
        <v>56</v>
      </c>
      <c r="B94" s="90"/>
      <c r="C94" s="77">
        <v>6</v>
      </c>
      <c r="D94" s="77">
        <v>7</v>
      </c>
      <c r="E94" s="101">
        <v>1424521753</v>
      </c>
      <c r="F94" s="101">
        <v>2594509616</v>
      </c>
      <c r="G94" s="101">
        <v>4019031369</v>
      </c>
      <c r="H94" s="97">
        <v>157</v>
      </c>
      <c r="I94" s="101">
        <v>40395000</v>
      </c>
      <c r="J94" s="101">
        <v>4398863766</v>
      </c>
      <c r="K94" s="101">
        <v>4439258766</v>
      </c>
      <c r="L94" s="97">
        <v>166</v>
      </c>
    </row>
    <row r="95" spans="1:12" ht="15" customHeight="1">
      <c r="A95" s="85" t="s">
        <v>56</v>
      </c>
      <c r="B95" s="89"/>
      <c r="C95" s="76">
        <v>6</v>
      </c>
      <c r="D95" s="76">
        <v>8</v>
      </c>
      <c r="E95" s="100">
        <v>1348624928</v>
      </c>
      <c r="F95" s="100">
        <v>6418870969</v>
      </c>
      <c r="G95" s="100">
        <v>7767495897</v>
      </c>
      <c r="H95" s="96">
        <v>12805</v>
      </c>
      <c r="I95" s="100">
        <v>211686996</v>
      </c>
      <c r="J95" s="100">
        <v>9063837144</v>
      </c>
      <c r="K95" s="100">
        <v>9275524140</v>
      </c>
      <c r="L95" s="96">
        <v>13305</v>
      </c>
    </row>
    <row r="96" spans="1:12" ht="15" customHeight="1">
      <c r="A96" s="86" t="s">
        <v>56</v>
      </c>
      <c r="B96" s="90"/>
      <c r="C96" s="77">
        <v>6</v>
      </c>
      <c r="D96" s="77">
        <v>9</v>
      </c>
      <c r="E96" s="101">
        <v>9258529264</v>
      </c>
      <c r="F96" s="101">
        <v>7447329002</v>
      </c>
      <c r="G96" s="101">
        <v>16705858266</v>
      </c>
      <c r="H96" s="97">
        <v>565</v>
      </c>
      <c r="I96" s="101">
        <v>1536108834</v>
      </c>
      <c r="J96" s="101">
        <v>15647945451</v>
      </c>
      <c r="K96" s="101">
        <v>17184054285</v>
      </c>
      <c r="L96" s="97">
        <v>636</v>
      </c>
    </row>
    <row r="97" spans="1:12" ht="15" customHeight="1">
      <c r="A97" s="85" t="s">
        <v>56</v>
      </c>
      <c r="B97" s="89"/>
      <c r="C97" s="76">
        <v>7</v>
      </c>
      <c r="D97" s="76">
        <v>1</v>
      </c>
      <c r="E97" s="100">
        <v>205355937</v>
      </c>
      <c r="F97" s="100">
        <v>53102330</v>
      </c>
      <c r="G97" s="100">
        <v>258458267</v>
      </c>
      <c r="H97" s="96">
        <v>5103</v>
      </c>
      <c r="I97" s="100">
        <v>241015860</v>
      </c>
      <c r="J97" s="100">
        <v>102419375</v>
      </c>
      <c r="K97" s="100">
        <v>343435235</v>
      </c>
      <c r="L97" s="96">
        <v>5162</v>
      </c>
    </row>
    <row r="98" spans="1:12" ht="15" customHeight="1">
      <c r="A98" s="86" t="s">
        <v>56</v>
      </c>
      <c r="B98" s="90"/>
      <c r="C98" s="77">
        <v>7</v>
      </c>
      <c r="D98" s="77">
        <v>2</v>
      </c>
      <c r="E98" s="101">
        <v>1346789291</v>
      </c>
      <c r="F98" s="101">
        <v>735496471</v>
      </c>
      <c r="G98" s="101">
        <v>2082285762</v>
      </c>
      <c r="H98" s="97">
        <v>4073</v>
      </c>
      <c r="I98" s="101">
        <v>2897858190</v>
      </c>
      <c r="J98" s="101">
        <v>1661303133</v>
      </c>
      <c r="K98" s="101">
        <v>4559161323</v>
      </c>
      <c r="L98" s="97">
        <v>4404</v>
      </c>
    </row>
    <row r="99" spans="1:12" ht="15" customHeight="1">
      <c r="A99" s="85" t="s">
        <v>56</v>
      </c>
      <c r="B99" s="89"/>
      <c r="C99" s="76">
        <v>7</v>
      </c>
      <c r="D99" s="76">
        <v>3</v>
      </c>
      <c r="E99" s="100">
        <v>1787693131</v>
      </c>
      <c r="F99" s="100">
        <v>1609572751</v>
      </c>
      <c r="G99" s="100">
        <v>3397265882</v>
      </c>
      <c r="H99" s="96">
        <v>42419</v>
      </c>
      <c r="I99" s="100">
        <v>1414946210</v>
      </c>
      <c r="J99" s="100">
        <v>2367969470</v>
      </c>
      <c r="K99" s="100">
        <v>3782915680</v>
      </c>
      <c r="L99" s="96">
        <v>43420</v>
      </c>
    </row>
    <row r="100" spans="1:12" ht="15" customHeight="1">
      <c r="A100" s="86" t="s">
        <v>56</v>
      </c>
      <c r="B100" s="90"/>
      <c r="C100" s="77">
        <v>7</v>
      </c>
      <c r="D100" s="77">
        <v>4</v>
      </c>
      <c r="E100" s="101">
        <v>38258126</v>
      </c>
      <c r="F100" s="101">
        <v>33333228</v>
      </c>
      <c r="G100" s="101">
        <v>71591354</v>
      </c>
      <c r="H100" s="97">
        <v>415</v>
      </c>
      <c r="I100" s="101">
        <v>6199764</v>
      </c>
      <c r="J100" s="101">
        <v>37147692</v>
      </c>
      <c r="K100" s="101">
        <v>43347456</v>
      </c>
      <c r="L100" s="97">
        <v>428</v>
      </c>
    </row>
    <row r="101" spans="1:12" ht="15" customHeight="1">
      <c r="A101" s="85" t="s">
        <v>56</v>
      </c>
      <c r="B101" s="89"/>
      <c r="C101" s="76">
        <v>7</v>
      </c>
      <c r="D101" s="76">
        <v>5</v>
      </c>
      <c r="E101" s="100">
        <v>4883306938</v>
      </c>
      <c r="F101" s="100">
        <v>14041874936</v>
      </c>
      <c r="G101" s="100">
        <v>18925181874</v>
      </c>
      <c r="H101" s="96">
        <v>17275</v>
      </c>
      <c r="I101" s="100">
        <v>240921882</v>
      </c>
      <c r="J101" s="100">
        <v>18164421652</v>
      </c>
      <c r="K101" s="100">
        <v>18405343534</v>
      </c>
      <c r="L101" s="96">
        <v>17592</v>
      </c>
    </row>
    <row r="102" spans="1:12" ht="15" customHeight="1">
      <c r="A102" s="86" t="s">
        <v>56</v>
      </c>
      <c r="B102" s="90"/>
      <c r="C102" s="77">
        <v>7</v>
      </c>
      <c r="D102" s="77">
        <v>6</v>
      </c>
      <c r="E102" s="101">
        <v>26151835</v>
      </c>
      <c r="F102" s="101">
        <v>2700941</v>
      </c>
      <c r="G102" s="101">
        <v>28852776</v>
      </c>
      <c r="H102" s="97">
        <v>125</v>
      </c>
      <c r="I102" s="101">
        <v>0</v>
      </c>
      <c r="J102" s="101">
        <v>6648731</v>
      </c>
      <c r="K102" s="101">
        <v>6648731</v>
      </c>
      <c r="L102" s="97">
        <v>138</v>
      </c>
    </row>
    <row r="103" spans="1:12" ht="15" customHeight="1">
      <c r="A103" s="85" t="s">
        <v>56</v>
      </c>
      <c r="B103" s="89"/>
      <c r="C103" s="76">
        <v>7</v>
      </c>
      <c r="D103" s="76">
        <v>7</v>
      </c>
      <c r="E103" s="100">
        <v>26544381</v>
      </c>
      <c r="F103" s="100">
        <v>44560253</v>
      </c>
      <c r="G103" s="100">
        <v>71104634</v>
      </c>
      <c r="H103" s="96">
        <v>97</v>
      </c>
      <c r="I103" s="100">
        <v>49658</v>
      </c>
      <c r="J103" s="100">
        <v>47205493</v>
      </c>
      <c r="K103" s="100">
        <v>47255151</v>
      </c>
      <c r="L103" s="96">
        <v>98</v>
      </c>
    </row>
    <row r="104" spans="1:12" ht="15" customHeight="1">
      <c r="A104" s="86" t="s">
        <v>56</v>
      </c>
      <c r="B104" s="90"/>
      <c r="C104" s="77">
        <v>7</v>
      </c>
      <c r="D104" s="77">
        <v>8</v>
      </c>
      <c r="E104" s="101">
        <v>185296728</v>
      </c>
      <c r="F104" s="101">
        <v>354927278</v>
      </c>
      <c r="G104" s="101">
        <v>540224006</v>
      </c>
      <c r="H104" s="97">
        <v>1492</v>
      </c>
      <c r="I104" s="101">
        <v>19663930</v>
      </c>
      <c r="J104" s="101">
        <v>754655637</v>
      </c>
      <c r="K104" s="101">
        <v>774319567</v>
      </c>
      <c r="L104" s="97">
        <v>1548</v>
      </c>
    </row>
    <row r="105" spans="1:12" ht="15" customHeight="1">
      <c r="A105" s="85" t="s">
        <v>56</v>
      </c>
      <c r="B105" s="89"/>
      <c r="C105" s="76">
        <v>7</v>
      </c>
      <c r="D105" s="76">
        <v>9</v>
      </c>
      <c r="E105" s="100">
        <v>716892458</v>
      </c>
      <c r="F105" s="100">
        <v>771477711</v>
      </c>
      <c r="G105" s="100">
        <v>1488370169</v>
      </c>
      <c r="H105" s="96">
        <v>1488</v>
      </c>
      <c r="I105" s="100">
        <v>131352845</v>
      </c>
      <c r="J105" s="100">
        <v>1531492066</v>
      </c>
      <c r="K105" s="100">
        <v>1662844911</v>
      </c>
      <c r="L105" s="96">
        <v>1649</v>
      </c>
    </row>
    <row r="106" spans="1:12" ht="15" customHeight="1">
      <c r="A106" s="86" t="s">
        <v>56</v>
      </c>
      <c r="B106" s="90"/>
      <c r="C106" s="77">
        <v>8</v>
      </c>
      <c r="D106" s="77">
        <v>1</v>
      </c>
      <c r="E106" s="101">
        <v>2768931</v>
      </c>
      <c r="F106" s="101">
        <v>1167155</v>
      </c>
      <c r="G106" s="101">
        <v>3936086</v>
      </c>
      <c r="H106" s="97">
        <v>5</v>
      </c>
      <c r="I106" s="101">
        <v>5252053</v>
      </c>
      <c r="J106" s="101">
        <v>2909301</v>
      </c>
      <c r="K106" s="101">
        <v>8161354</v>
      </c>
      <c r="L106" s="97">
        <v>6</v>
      </c>
    </row>
    <row r="107" spans="1:12" ht="15" customHeight="1">
      <c r="A107" s="85" t="s">
        <v>56</v>
      </c>
      <c r="B107" s="89"/>
      <c r="C107" s="76">
        <v>8</v>
      </c>
      <c r="D107" s="76">
        <v>2</v>
      </c>
      <c r="E107" s="100">
        <v>33615210</v>
      </c>
      <c r="F107" s="100">
        <v>13731144</v>
      </c>
      <c r="G107" s="100">
        <v>47346354</v>
      </c>
      <c r="H107" s="96">
        <v>184</v>
      </c>
      <c r="I107" s="100">
        <v>128335781</v>
      </c>
      <c r="J107" s="100">
        <v>38974042</v>
      </c>
      <c r="K107" s="100">
        <v>167309823</v>
      </c>
      <c r="L107" s="96">
        <v>192</v>
      </c>
    </row>
    <row r="108" spans="1:12" ht="15" customHeight="1">
      <c r="A108" s="86" t="s">
        <v>56</v>
      </c>
      <c r="B108" s="90"/>
      <c r="C108" s="77">
        <v>8</v>
      </c>
      <c r="D108" s="77">
        <v>3</v>
      </c>
      <c r="E108" s="101">
        <v>191357237</v>
      </c>
      <c r="F108" s="101">
        <v>182841444</v>
      </c>
      <c r="G108" s="101">
        <v>374198681</v>
      </c>
      <c r="H108" s="97">
        <v>2924</v>
      </c>
      <c r="I108" s="101">
        <v>90634840</v>
      </c>
      <c r="J108" s="101">
        <v>333304642</v>
      </c>
      <c r="K108" s="101">
        <v>423939482</v>
      </c>
      <c r="L108" s="97">
        <v>3026</v>
      </c>
    </row>
    <row r="109" spans="1:12" ht="15" customHeight="1">
      <c r="A109" s="85" t="s">
        <v>56</v>
      </c>
      <c r="B109" s="89"/>
      <c r="C109" s="76">
        <v>8</v>
      </c>
      <c r="D109" s="76">
        <v>4</v>
      </c>
      <c r="E109" s="100">
        <v>10538304</v>
      </c>
      <c r="F109" s="100">
        <v>46785852</v>
      </c>
      <c r="G109" s="100">
        <v>57324156</v>
      </c>
      <c r="H109" s="96">
        <v>106</v>
      </c>
      <c r="I109" s="100">
        <v>1161482</v>
      </c>
      <c r="J109" s="100">
        <v>47817145</v>
      </c>
      <c r="K109" s="100">
        <v>48978627</v>
      </c>
      <c r="L109" s="96">
        <v>106</v>
      </c>
    </row>
    <row r="110" spans="1:12" ht="15" customHeight="1">
      <c r="A110" s="86" t="s">
        <v>56</v>
      </c>
      <c r="B110" s="90"/>
      <c r="C110" s="77">
        <v>8</v>
      </c>
      <c r="D110" s="77">
        <v>5</v>
      </c>
      <c r="E110" s="101">
        <v>71979155</v>
      </c>
      <c r="F110" s="101">
        <v>101626477</v>
      </c>
      <c r="G110" s="101">
        <v>173605632</v>
      </c>
      <c r="H110" s="97">
        <v>26</v>
      </c>
      <c r="I110" s="101">
        <v>2757741</v>
      </c>
      <c r="J110" s="101">
        <v>101691112</v>
      </c>
      <c r="K110" s="101">
        <v>104448853</v>
      </c>
      <c r="L110" s="97">
        <v>28</v>
      </c>
    </row>
    <row r="111" spans="1:12" ht="15" customHeight="1">
      <c r="A111" s="85" t="s">
        <v>56</v>
      </c>
      <c r="B111" s="89"/>
      <c r="C111" s="76">
        <v>8</v>
      </c>
      <c r="D111" s="76">
        <v>6</v>
      </c>
      <c r="E111" s="100">
        <v>0</v>
      </c>
      <c r="F111" s="100">
        <v>0</v>
      </c>
      <c r="G111" s="100">
        <v>0</v>
      </c>
      <c r="H111" s="96">
        <v>0</v>
      </c>
      <c r="I111" s="100">
        <v>0</v>
      </c>
      <c r="J111" s="100">
        <v>0</v>
      </c>
      <c r="K111" s="100">
        <v>0</v>
      </c>
      <c r="L111" s="96">
        <v>0</v>
      </c>
    </row>
    <row r="112" spans="1:12" ht="15" customHeight="1">
      <c r="A112" s="86" t="s">
        <v>56</v>
      </c>
      <c r="B112" s="90"/>
      <c r="C112" s="77">
        <v>8</v>
      </c>
      <c r="D112" s="77">
        <v>7</v>
      </c>
      <c r="E112" s="101">
        <v>1568000</v>
      </c>
      <c r="F112" s="101">
        <v>13971720</v>
      </c>
      <c r="G112" s="101">
        <v>15539720</v>
      </c>
      <c r="H112" s="97">
        <v>3</v>
      </c>
      <c r="I112" s="101">
        <v>0</v>
      </c>
      <c r="J112" s="101">
        <v>13971720</v>
      </c>
      <c r="K112" s="101">
        <v>13971720</v>
      </c>
      <c r="L112" s="97">
        <v>3</v>
      </c>
    </row>
    <row r="113" spans="1:12" ht="15" customHeight="1">
      <c r="A113" s="85" t="s">
        <v>56</v>
      </c>
      <c r="B113" s="89"/>
      <c r="C113" s="76">
        <v>8</v>
      </c>
      <c r="D113" s="76">
        <v>8</v>
      </c>
      <c r="E113" s="100">
        <v>55548445</v>
      </c>
      <c r="F113" s="100">
        <v>67219418</v>
      </c>
      <c r="G113" s="100">
        <v>122767863</v>
      </c>
      <c r="H113" s="96">
        <v>308</v>
      </c>
      <c r="I113" s="100">
        <v>3070585</v>
      </c>
      <c r="J113" s="100">
        <v>68253193</v>
      </c>
      <c r="K113" s="100">
        <v>71323778</v>
      </c>
      <c r="L113" s="96">
        <v>309</v>
      </c>
    </row>
    <row r="114" spans="1:12" ht="15" customHeight="1">
      <c r="A114" s="86" t="s">
        <v>56</v>
      </c>
      <c r="B114" s="90"/>
      <c r="C114" s="77">
        <v>8</v>
      </c>
      <c r="D114" s="77">
        <v>9</v>
      </c>
      <c r="E114" s="101">
        <v>77135673</v>
      </c>
      <c r="F114" s="101">
        <v>115681893</v>
      </c>
      <c r="G114" s="101">
        <v>192817566</v>
      </c>
      <c r="H114" s="97">
        <v>28</v>
      </c>
      <c r="I114" s="101">
        <v>14631491</v>
      </c>
      <c r="J114" s="101">
        <v>115748013</v>
      </c>
      <c r="K114" s="101">
        <v>130379504</v>
      </c>
      <c r="L114" s="97">
        <v>28</v>
      </c>
    </row>
    <row r="115" spans="1:12" ht="15" customHeight="1">
      <c r="A115" s="85" t="s">
        <v>56</v>
      </c>
      <c r="B115" s="89"/>
      <c r="C115" s="76">
        <v>9</v>
      </c>
      <c r="D115" s="76">
        <v>1</v>
      </c>
      <c r="E115" s="100">
        <v>1515701</v>
      </c>
      <c r="F115" s="100">
        <v>16500</v>
      </c>
      <c r="G115" s="100">
        <v>1532201</v>
      </c>
      <c r="H115" s="96">
        <v>3</v>
      </c>
      <c r="I115" s="100">
        <v>18901</v>
      </c>
      <c r="J115" s="100">
        <v>16500</v>
      </c>
      <c r="K115" s="100">
        <v>35401</v>
      </c>
      <c r="L115" s="96">
        <v>5</v>
      </c>
    </row>
    <row r="116" spans="1:12" ht="15" customHeight="1">
      <c r="A116" s="86" t="s">
        <v>56</v>
      </c>
      <c r="B116" s="90"/>
      <c r="C116" s="77">
        <v>9</v>
      </c>
      <c r="D116" s="77">
        <v>2</v>
      </c>
      <c r="E116" s="101">
        <v>60915887</v>
      </c>
      <c r="F116" s="101">
        <v>63226181</v>
      </c>
      <c r="G116" s="101">
        <v>124142068</v>
      </c>
      <c r="H116" s="97">
        <v>148</v>
      </c>
      <c r="I116" s="101">
        <v>75013005</v>
      </c>
      <c r="J116" s="101">
        <v>137239139</v>
      </c>
      <c r="K116" s="101">
        <v>212252144</v>
      </c>
      <c r="L116" s="97">
        <v>165</v>
      </c>
    </row>
    <row r="117" spans="1:12" ht="15" customHeight="1">
      <c r="A117" s="85" t="s">
        <v>56</v>
      </c>
      <c r="B117" s="89"/>
      <c r="C117" s="76">
        <v>9</v>
      </c>
      <c r="D117" s="76">
        <v>3</v>
      </c>
      <c r="E117" s="100">
        <v>393381833</v>
      </c>
      <c r="F117" s="100">
        <v>984323853</v>
      </c>
      <c r="G117" s="100">
        <v>1377705686</v>
      </c>
      <c r="H117" s="96">
        <v>2558</v>
      </c>
      <c r="I117" s="100">
        <v>138397690</v>
      </c>
      <c r="J117" s="100">
        <v>1652371583</v>
      </c>
      <c r="K117" s="100">
        <v>1790769273</v>
      </c>
      <c r="L117" s="96">
        <v>2710</v>
      </c>
    </row>
    <row r="118" spans="1:12" ht="15" customHeight="1">
      <c r="A118" s="86" t="s">
        <v>56</v>
      </c>
      <c r="B118" s="90"/>
      <c r="C118" s="77">
        <v>9</v>
      </c>
      <c r="D118" s="77">
        <v>4</v>
      </c>
      <c r="E118" s="101">
        <v>4043674</v>
      </c>
      <c r="F118" s="101">
        <v>30183263</v>
      </c>
      <c r="G118" s="101">
        <v>34226937</v>
      </c>
      <c r="H118" s="97">
        <v>73</v>
      </c>
      <c r="I118" s="101">
        <v>1</v>
      </c>
      <c r="J118" s="101">
        <v>57804783</v>
      </c>
      <c r="K118" s="101">
        <v>57804784</v>
      </c>
      <c r="L118" s="97">
        <v>74</v>
      </c>
    </row>
    <row r="119" spans="1:12" ht="15" customHeight="1">
      <c r="A119" s="85" t="s">
        <v>56</v>
      </c>
      <c r="B119" s="89"/>
      <c r="C119" s="76">
        <v>9</v>
      </c>
      <c r="D119" s="76">
        <v>5</v>
      </c>
      <c r="E119" s="100">
        <v>37421074</v>
      </c>
      <c r="F119" s="100">
        <v>5839808</v>
      </c>
      <c r="G119" s="100">
        <v>43260882</v>
      </c>
      <c r="H119" s="96">
        <v>8</v>
      </c>
      <c r="I119" s="100">
        <v>0</v>
      </c>
      <c r="J119" s="100">
        <v>40174608</v>
      </c>
      <c r="K119" s="100">
        <v>40174608</v>
      </c>
      <c r="L119" s="96">
        <v>9</v>
      </c>
    </row>
    <row r="120" spans="1:12" ht="15" customHeight="1">
      <c r="A120" s="86" t="s">
        <v>56</v>
      </c>
      <c r="B120" s="90"/>
      <c r="C120" s="77">
        <v>9</v>
      </c>
      <c r="D120" s="77">
        <v>6</v>
      </c>
      <c r="E120" s="101">
        <v>271575137</v>
      </c>
      <c r="F120" s="101">
        <v>186468281</v>
      </c>
      <c r="G120" s="101">
        <v>458043418</v>
      </c>
      <c r="H120" s="97">
        <v>84</v>
      </c>
      <c r="I120" s="101">
        <v>8247727</v>
      </c>
      <c r="J120" s="101">
        <v>345164867</v>
      </c>
      <c r="K120" s="101">
        <v>353412594</v>
      </c>
      <c r="L120" s="97">
        <v>87</v>
      </c>
    </row>
    <row r="121" spans="1:12" ht="15" customHeight="1">
      <c r="A121" s="85" t="s">
        <v>56</v>
      </c>
      <c r="B121" s="89"/>
      <c r="C121" s="76">
        <v>9</v>
      </c>
      <c r="D121" s="76">
        <v>7</v>
      </c>
      <c r="E121" s="100">
        <v>712885021</v>
      </c>
      <c r="F121" s="100">
        <v>1260370156</v>
      </c>
      <c r="G121" s="100">
        <v>1973255177</v>
      </c>
      <c r="H121" s="96">
        <v>30</v>
      </c>
      <c r="I121" s="100">
        <v>133004800</v>
      </c>
      <c r="J121" s="100">
        <v>2386278276</v>
      </c>
      <c r="K121" s="100">
        <v>2519283076</v>
      </c>
      <c r="L121" s="96">
        <v>34</v>
      </c>
    </row>
    <row r="122" spans="1:12" ht="15" customHeight="1">
      <c r="A122" s="86" t="s">
        <v>56</v>
      </c>
      <c r="B122" s="90"/>
      <c r="C122" s="77">
        <v>9</v>
      </c>
      <c r="D122" s="77">
        <v>8</v>
      </c>
      <c r="E122" s="101">
        <v>47723736</v>
      </c>
      <c r="F122" s="101">
        <v>38380827</v>
      </c>
      <c r="G122" s="101">
        <v>86104563</v>
      </c>
      <c r="H122" s="97">
        <v>311</v>
      </c>
      <c r="I122" s="101">
        <v>5091993</v>
      </c>
      <c r="J122" s="101">
        <v>38380827</v>
      </c>
      <c r="K122" s="101">
        <v>43472820</v>
      </c>
      <c r="L122" s="97">
        <v>313</v>
      </c>
    </row>
    <row r="123" spans="1:12" ht="15" customHeight="1">
      <c r="A123" s="85" t="s">
        <v>56</v>
      </c>
      <c r="B123" s="89"/>
      <c r="C123" s="76">
        <v>9</v>
      </c>
      <c r="D123" s="76">
        <v>9</v>
      </c>
      <c r="E123" s="100">
        <v>318902194</v>
      </c>
      <c r="F123" s="100">
        <v>3616720</v>
      </c>
      <c r="G123" s="100">
        <v>322518914</v>
      </c>
      <c r="H123" s="96">
        <v>19</v>
      </c>
      <c r="I123" s="100">
        <v>0</v>
      </c>
      <c r="J123" s="100">
        <v>4896720</v>
      </c>
      <c r="K123" s="100">
        <v>4896720</v>
      </c>
      <c r="L123" s="96">
        <v>21</v>
      </c>
    </row>
    <row r="124" spans="1:12" ht="15" customHeight="1">
      <c r="A124" s="86" t="s">
        <v>56</v>
      </c>
      <c r="B124" s="90"/>
      <c r="C124" s="77">
        <v>10</v>
      </c>
      <c r="D124" s="77">
        <v>1</v>
      </c>
      <c r="E124" s="101">
        <v>5713197</v>
      </c>
      <c r="F124" s="101">
        <v>2089956</v>
      </c>
      <c r="G124" s="101">
        <v>7803153</v>
      </c>
      <c r="H124" s="97">
        <v>42</v>
      </c>
      <c r="I124" s="101">
        <v>6297760</v>
      </c>
      <c r="J124" s="101">
        <v>4382660</v>
      </c>
      <c r="K124" s="101">
        <v>10680420</v>
      </c>
      <c r="L124" s="97">
        <v>49</v>
      </c>
    </row>
    <row r="125" spans="1:12" ht="15" customHeight="1">
      <c r="A125" s="85" t="s">
        <v>56</v>
      </c>
      <c r="B125" s="89"/>
      <c r="C125" s="76">
        <v>10</v>
      </c>
      <c r="D125" s="76">
        <v>2</v>
      </c>
      <c r="E125" s="100">
        <v>343078072</v>
      </c>
      <c r="F125" s="100">
        <v>113074029</v>
      </c>
      <c r="G125" s="100">
        <v>456152101</v>
      </c>
      <c r="H125" s="96">
        <v>745</v>
      </c>
      <c r="I125" s="100">
        <v>812821641</v>
      </c>
      <c r="J125" s="100">
        <v>451943335</v>
      </c>
      <c r="K125" s="100">
        <v>1264764976</v>
      </c>
      <c r="L125" s="96">
        <v>869</v>
      </c>
    </row>
    <row r="126" spans="1:12" ht="15" customHeight="1">
      <c r="A126" s="86" t="s">
        <v>56</v>
      </c>
      <c r="B126" s="90"/>
      <c r="C126" s="77">
        <v>10</v>
      </c>
      <c r="D126" s="77">
        <v>3</v>
      </c>
      <c r="E126" s="101">
        <v>1804236558</v>
      </c>
      <c r="F126" s="101">
        <v>1636391435</v>
      </c>
      <c r="G126" s="101">
        <v>3440627993</v>
      </c>
      <c r="H126" s="97">
        <v>14568</v>
      </c>
      <c r="I126" s="101">
        <v>744942785</v>
      </c>
      <c r="J126" s="101">
        <v>3191830917</v>
      </c>
      <c r="K126" s="101">
        <v>3936773702</v>
      </c>
      <c r="L126" s="97">
        <v>15560</v>
      </c>
    </row>
    <row r="127" spans="1:12" ht="15" customHeight="1">
      <c r="A127" s="85" t="s">
        <v>56</v>
      </c>
      <c r="B127" s="89"/>
      <c r="C127" s="76">
        <v>10</v>
      </c>
      <c r="D127" s="76">
        <v>4</v>
      </c>
      <c r="E127" s="100">
        <v>28899043</v>
      </c>
      <c r="F127" s="100">
        <v>327210054</v>
      </c>
      <c r="G127" s="100">
        <v>356109097</v>
      </c>
      <c r="H127" s="96">
        <v>458</v>
      </c>
      <c r="I127" s="100">
        <v>5943405</v>
      </c>
      <c r="J127" s="100">
        <v>380276780</v>
      </c>
      <c r="K127" s="100">
        <v>386220185</v>
      </c>
      <c r="L127" s="96">
        <v>485</v>
      </c>
    </row>
    <row r="128" spans="1:12" ht="15" customHeight="1">
      <c r="A128" s="86" t="s">
        <v>56</v>
      </c>
      <c r="B128" s="90"/>
      <c r="C128" s="77">
        <v>10</v>
      </c>
      <c r="D128" s="77">
        <v>5</v>
      </c>
      <c r="E128" s="101">
        <v>370494605</v>
      </c>
      <c r="F128" s="101">
        <v>363830856</v>
      </c>
      <c r="G128" s="101">
        <v>734325461</v>
      </c>
      <c r="H128" s="97">
        <v>72</v>
      </c>
      <c r="I128" s="101">
        <v>1</v>
      </c>
      <c r="J128" s="101">
        <v>770461770</v>
      </c>
      <c r="K128" s="101">
        <v>770461771</v>
      </c>
      <c r="L128" s="97">
        <v>81</v>
      </c>
    </row>
    <row r="129" spans="1:12" ht="15" customHeight="1">
      <c r="A129" s="85" t="s">
        <v>56</v>
      </c>
      <c r="B129" s="89"/>
      <c r="C129" s="76">
        <v>10</v>
      </c>
      <c r="D129" s="76">
        <v>6</v>
      </c>
      <c r="E129" s="100">
        <v>73141349</v>
      </c>
      <c r="F129" s="100">
        <v>70064003</v>
      </c>
      <c r="G129" s="100">
        <v>143205352</v>
      </c>
      <c r="H129" s="96">
        <v>27</v>
      </c>
      <c r="I129" s="100">
        <v>0</v>
      </c>
      <c r="J129" s="100">
        <v>151226739</v>
      </c>
      <c r="K129" s="100">
        <v>151226739</v>
      </c>
      <c r="L129" s="96">
        <v>31</v>
      </c>
    </row>
    <row r="130" spans="1:12" ht="15" customHeight="1">
      <c r="A130" s="86" t="s">
        <v>56</v>
      </c>
      <c r="B130" s="90"/>
      <c r="C130" s="77">
        <v>10</v>
      </c>
      <c r="D130" s="77">
        <v>7</v>
      </c>
      <c r="E130" s="101">
        <v>152150070</v>
      </c>
      <c r="F130" s="101">
        <v>311388892</v>
      </c>
      <c r="G130" s="101">
        <v>463538962</v>
      </c>
      <c r="H130" s="97">
        <v>45</v>
      </c>
      <c r="I130" s="101">
        <v>4872250</v>
      </c>
      <c r="J130" s="101">
        <v>500708708</v>
      </c>
      <c r="K130" s="101">
        <v>505580958</v>
      </c>
      <c r="L130" s="97">
        <v>46</v>
      </c>
    </row>
    <row r="131" spans="1:12" ht="15" customHeight="1">
      <c r="A131" s="85" t="s">
        <v>56</v>
      </c>
      <c r="B131" s="89"/>
      <c r="C131" s="76">
        <v>10</v>
      </c>
      <c r="D131" s="76">
        <v>8</v>
      </c>
      <c r="E131" s="100">
        <v>146712819</v>
      </c>
      <c r="F131" s="100">
        <v>524381029</v>
      </c>
      <c r="G131" s="100">
        <v>671093848</v>
      </c>
      <c r="H131" s="96">
        <v>1192</v>
      </c>
      <c r="I131" s="100">
        <v>37585756</v>
      </c>
      <c r="J131" s="100">
        <v>773333232</v>
      </c>
      <c r="K131" s="100">
        <v>810918988</v>
      </c>
      <c r="L131" s="96">
        <v>1243</v>
      </c>
    </row>
    <row r="132" spans="1:12" ht="15" customHeight="1">
      <c r="A132" s="86" t="s">
        <v>56</v>
      </c>
      <c r="B132" s="90"/>
      <c r="C132" s="77">
        <v>10</v>
      </c>
      <c r="D132" s="77">
        <v>9</v>
      </c>
      <c r="E132" s="101">
        <v>1214457378</v>
      </c>
      <c r="F132" s="101">
        <v>1228368916</v>
      </c>
      <c r="G132" s="101">
        <v>2442826294</v>
      </c>
      <c r="H132" s="97">
        <v>173</v>
      </c>
      <c r="I132" s="101">
        <v>128214846</v>
      </c>
      <c r="J132" s="101">
        <v>1903396034</v>
      </c>
      <c r="K132" s="101">
        <v>2031610880</v>
      </c>
      <c r="L132" s="97">
        <v>189</v>
      </c>
    </row>
    <row r="133" spans="1:12" ht="15" customHeight="1">
      <c r="A133" s="85" t="s">
        <v>56</v>
      </c>
      <c r="B133" s="89"/>
      <c r="C133" s="76">
        <v>20</v>
      </c>
      <c r="D133" s="76">
        <v>1</v>
      </c>
      <c r="E133" s="100">
        <v>89379437</v>
      </c>
      <c r="F133" s="100">
        <v>0</v>
      </c>
      <c r="G133" s="100">
        <v>89379437</v>
      </c>
      <c r="H133" s="96">
        <v>99</v>
      </c>
      <c r="I133" s="100">
        <v>16237500</v>
      </c>
      <c r="J133" s="100">
        <v>3508336</v>
      </c>
      <c r="K133" s="100">
        <v>19745836</v>
      </c>
      <c r="L133" s="96">
        <v>104</v>
      </c>
    </row>
    <row r="134" spans="1:12" ht="15" customHeight="1">
      <c r="A134" s="86" t="s">
        <v>56</v>
      </c>
      <c r="B134" s="90"/>
      <c r="C134" s="77">
        <v>20</v>
      </c>
      <c r="D134" s="77">
        <v>2</v>
      </c>
      <c r="E134" s="101">
        <v>223653190</v>
      </c>
      <c r="F134" s="101">
        <v>20532714</v>
      </c>
      <c r="G134" s="101">
        <v>244185904</v>
      </c>
      <c r="H134" s="97">
        <v>531</v>
      </c>
      <c r="I134" s="101">
        <v>470833766</v>
      </c>
      <c r="J134" s="101">
        <v>346958385</v>
      </c>
      <c r="K134" s="101">
        <v>817792151</v>
      </c>
      <c r="L134" s="97">
        <v>721</v>
      </c>
    </row>
    <row r="135" spans="1:12" ht="15" customHeight="1">
      <c r="A135" s="85" t="s">
        <v>56</v>
      </c>
      <c r="B135" s="89"/>
      <c r="C135" s="76">
        <v>20</v>
      </c>
      <c r="D135" s="76">
        <v>3</v>
      </c>
      <c r="E135" s="100">
        <v>208887671</v>
      </c>
      <c r="F135" s="100">
        <v>63222158</v>
      </c>
      <c r="G135" s="100">
        <v>272109829</v>
      </c>
      <c r="H135" s="96">
        <v>5754</v>
      </c>
      <c r="I135" s="100">
        <v>151756164</v>
      </c>
      <c r="J135" s="100">
        <v>432060708</v>
      </c>
      <c r="K135" s="100">
        <v>583816872</v>
      </c>
      <c r="L135" s="96">
        <v>6095</v>
      </c>
    </row>
    <row r="136" spans="1:12" ht="15" customHeight="1">
      <c r="A136" s="86" t="s">
        <v>56</v>
      </c>
      <c r="B136" s="90"/>
      <c r="C136" s="77">
        <v>20</v>
      </c>
      <c r="D136" s="77">
        <v>4</v>
      </c>
      <c r="E136" s="101">
        <v>1253319</v>
      </c>
      <c r="F136" s="101">
        <v>6809962</v>
      </c>
      <c r="G136" s="101">
        <v>8063281</v>
      </c>
      <c r="H136" s="97">
        <v>359</v>
      </c>
      <c r="I136" s="101">
        <v>0</v>
      </c>
      <c r="J136" s="101">
        <v>12629367</v>
      </c>
      <c r="K136" s="101">
        <v>12629367</v>
      </c>
      <c r="L136" s="97">
        <v>469</v>
      </c>
    </row>
    <row r="137" spans="1:12" ht="15" customHeight="1">
      <c r="A137" s="85" t="s">
        <v>56</v>
      </c>
      <c r="B137" s="89"/>
      <c r="C137" s="76">
        <v>20</v>
      </c>
      <c r="D137" s="76">
        <v>5</v>
      </c>
      <c r="E137" s="100">
        <v>330695</v>
      </c>
      <c r="F137" s="100">
        <v>11134304</v>
      </c>
      <c r="G137" s="100">
        <v>11464999</v>
      </c>
      <c r="H137" s="96">
        <v>47</v>
      </c>
      <c r="I137" s="100">
        <v>0</v>
      </c>
      <c r="J137" s="100">
        <v>124126756</v>
      </c>
      <c r="K137" s="100">
        <v>124126756</v>
      </c>
      <c r="L137" s="96">
        <v>68</v>
      </c>
    </row>
    <row r="138" spans="1:12" ht="15" customHeight="1">
      <c r="A138" s="86" t="s">
        <v>56</v>
      </c>
      <c r="B138" s="90"/>
      <c r="C138" s="77">
        <v>20</v>
      </c>
      <c r="D138" s="77">
        <v>6</v>
      </c>
      <c r="E138" s="101">
        <v>22562</v>
      </c>
      <c r="F138" s="101">
        <v>708939</v>
      </c>
      <c r="G138" s="101">
        <v>731501</v>
      </c>
      <c r="H138" s="97">
        <v>6</v>
      </c>
      <c r="I138" s="101">
        <v>0</v>
      </c>
      <c r="J138" s="101">
        <v>5873355</v>
      </c>
      <c r="K138" s="101">
        <v>5873355</v>
      </c>
      <c r="L138" s="97">
        <v>8</v>
      </c>
    </row>
    <row r="139" spans="1:12" ht="15" customHeight="1">
      <c r="A139" s="85" t="s">
        <v>56</v>
      </c>
      <c r="B139" s="89"/>
      <c r="C139" s="76">
        <v>20</v>
      </c>
      <c r="D139" s="76">
        <v>7</v>
      </c>
      <c r="E139" s="100">
        <v>0</v>
      </c>
      <c r="F139" s="100">
        <v>6075791</v>
      </c>
      <c r="G139" s="100">
        <v>6075791</v>
      </c>
      <c r="H139" s="96">
        <v>10</v>
      </c>
      <c r="I139" s="100">
        <v>0</v>
      </c>
      <c r="J139" s="100">
        <v>15765731</v>
      </c>
      <c r="K139" s="100">
        <v>15765731</v>
      </c>
      <c r="L139" s="96">
        <v>11</v>
      </c>
    </row>
    <row r="140" spans="1:12" ht="15" customHeight="1">
      <c r="A140" s="86" t="s">
        <v>56</v>
      </c>
      <c r="B140" s="90"/>
      <c r="C140" s="77">
        <v>20</v>
      </c>
      <c r="D140" s="77">
        <v>8</v>
      </c>
      <c r="E140" s="101">
        <v>23732869</v>
      </c>
      <c r="F140" s="101">
        <v>117289707</v>
      </c>
      <c r="G140" s="101">
        <v>141022576</v>
      </c>
      <c r="H140" s="97">
        <v>847</v>
      </c>
      <c r="I140" s="101">
        <v>0</v>
      </c>
      <c r="J140" s="101">
        <v>199491318</v>
      </c>
      <c r="K140" s="101">
        <v>199491318</v>
      </c>
      <c r="L140" s="97">
        <v>969</v>
      </c>
    </row>
    <row r="141" spans="1:12" ht="15" customHeight="1">
      <c r="A141" s="85" t="s">
        <v>56</v>
      </c>
      <c r="B141" s="89"/>
      <c r="C141" s="76">
        <v>20</v>
      </c>
      <c r="D141" s="76">
        <v>9</v>
      </c>
      <c r="E141" s="100">
        <v>17531920</v>
      </c>
      <c r="F141" s="100">
        <v>38881763</v>
      </c>
      <c r="G141" s="100">
        <v>56413683</v>
      </c>
      <c r="H141" s="96">
        <v>42</v>
      </c>
      <c r="I141" s="100">
        <v>91897288</v>
      </c>
      <c r="J141" s="100">
        <v>98401778</v>
      </c>
      <c r="K141" s="100">
        <v>190299066</v>
      </c>
      <c r="L141" s="96">
        <v>71</v>
      </c>
    </row>
    <row r="142" spans="1:12" ht="15" customHeight="1">
      <c r="A142" s="86" t="s">
        <v>56</v>
      </c>
      <c r="B142" s="90"/>
      <c r="C142" s="77">
        <v>21</v>
      </c>
      <c r="D142" s="77">
        <v>1</v>
      </c>
      <c r="E142" s="101">
        <v>302010606</v>
      </c>
      <c r="F142" s="101">
        <v>149735417</v>
      </c>
      <c r="G142" s="101">
        <v>451746023</v>
      </c>
      <c r="H142" s="97">
        <v>1146</v>
      </c>
      <c r="I142" s="101">
        <v>532294996</v>
      </c>
      <c r="J142" s="101">
        <v>444863564</v>
      </c>
      <c r="K142" s="101">
        <v>977158560</v>
      </c>
      <c r="L142" s="97">
        <v>1191</v>
      </c>
    </row>
    <row r="143" spans="1:12" ht="15" customHeight="1">
      <c r="A143" s="85" t="s">
        <v>56</v>
      </c>
      <c r="B143" s="89"/>
      <c r="C143" s="76">
        <v>21</v>
      </c>
      <c r="D143" s="76">
        <v>2</v>
      </c>
      <c r="E143" s="100">
        <v>196654064</v>
      </c>
      <c r="F143" s="100">
        <v>40467227</v>
      </c>
      <c r="G143" s="100">
        <v>237121291</v>
      </c>
      <c r="H143" s="96">
        <v>551</v>
      </c>
      <c r="I143" s="100">
        <v>464301460</v>
      </c>
      <c r="J143" s="100">
        <v>206505962</v>
      </c>
      <c r="K143" s="100">
        <v>670807422</v>
      </c>
      <c r="L143" s="96">
        <v>605</v>
      </c>
    </row>
    <row r="144" spans="1:12" ht="15" customHeight="1">
      <c r="A144" s="86" t="s">
        <v>56</v>
      </c>
      <c r="B144" s="90"/>
      <c r="C144" s="77">
        <v>21</v>
      </c>
      <c r="D144" s="77">
        <v>3</v>
      </c>
      <c r="E144" s="101">
        <v>304781013</v>
      </c>
      <c r="F144" s="101">
        <v>114575988</v>
      </c>
      <c r="G144" s="101">
        <v>419357001</v>
      </c>
      <c r="H144" s="97">
        <v>2707</v>
      </c>
      <c r="I144" s="101">
        <v>198712006</v>
      </c>
      <c r="J144" s="101">
        <v>318761017</v>
      </c>
      <c r="K144" s="101">
        <v>517473023</v>
      </c>
      <c r="L144" s="97">
        <v>2865</v>
      </c>
    </row>
    <row r="145" spans="1:12" ht="15" customHeight="1">
      <c r="A145" s="85" t="s">
        <v>56</v>
      </c>
      <c r="B145" s="89"/>
      <c r="C145" s="76">
        <v>21</v>
      </c>
      <c r="D145" s="76">
        <v>4</v>
      </c>
      <c r="E145" s="100">
        <v>9941733</v>
      </c>
      <c r="F145" s="100">
        <v>47584929</v>
      </c>
      <c r="G145" s="100">
        <v>57526662</v>
      </c>
      <c r="H145" s="96">
        <v>204</v>
      </c>
      <c r="I145" s="100">
        <v>0</v>
      </c>
      <c r="J145" s="100">
        <v>51986956</v>
      </c>
      <c r="K145" s="100">
        <v>51986956</v>
      </c>
      <c r="L145" s="96">
        <v>210</v>
      </c>
    </row>
    <row r="146" spans="1:12" ht="15" customHeight="1">
      <c r="A146" s="86" t="s">
        <v>56</v>
      </c>
      <c r="B146" s="90"/>
      <c r="C146" s="77">
        <v>21</v>
      </c>
      <c r="D146" s="77">
        <v>5</v>
      </c>
      <c r="E146" s="101">
        <v>106039609</v>
      </c>
      <c r="F146" s="101">
        <v>127659246</v>
      </c>
      <c r="G146" s="101">
        <v>233698855</v>
      </c>
      <c r="H146" s="97">
        <v>46</v>
      </c>
      <c r="I146" s="101">
        <v>454932</v>
      </c>
      <c r="J146" s="101">
        <v>224911699</v>
      </c>
      <c r="K146" s="101">
        <v>225366631</v>
      </c>
      <c r="L146" s="97">
        <v>54</v>
      </c>
    </row>
    <row r="147" spans="1:12" ht="15" customHeight="1">
      <c r="A147" s="85" t="s">
        <v>56</v>
      </c>
      <c r="B147" s="89"/>
      <c r="C147" s="76">
        <v>21</v>
      </c>
      <c r="D147" s="76">
        <v>6</v>
      </c>
      <c r="E147" s="100">
        <v>0</v>
      </c>
      <c r="F147" s="100">
        <v>0</v>
      </c>
      <c r="G147" s="100">
        <v>0</v>
      </c>
      <c r="H147" s="96">
        <v>1</v>
      </c>
      <c r="I147" s="100">
        <v>0</v>
      </c>
      <c r="J147" s="100">
        <v>0</v>
      </c>
      <c r="K147" s="100">
        <v>0</v>
      </c>
      <c r="L147" s="96">
        <v>1</v>
      </c>
    </row>
    <row r="148" spans="1:12" ht="15" customHeight="1">
      <c r="A148" s="86" t="s">
        <v>56</v>
      </c>
      <c r="B148" s="90"/>
      <c r="C148" s="77">
        <v>21</v>
      </c>
      <c r="D148" s="77">
        <v>7</v>
      </c>
      <c r="E148" s="101">
        <v>0</v>
      </c>
      <c r="F148" s="101">
        <v>65580</v>
      </c>
      <c r="G148" s="101">
        <v>65580</v>
      </c>
      <c r="H148" s="97">
        <v>3</v>
      </c>
      <c r="I148" s="101">
        <v>0</v>
      </c>
      <c r="J148" s="101">
        <v>4512780</v>
      </c>
      <c r="K148" s="101">
        <v>4512780</v>
      </c>
      <c r="L148" s="97">
        <v>4</v>
      </c>
    </row>
    <row r="149" spans="1:12" ht="15" customHeight="1">
      <c r="A149" s="85" t="s">
        <v>56</v>
      </c>
      <c r="B149" s="89"/>
      <c r="C149" s="76">
        <v>21</v>
      </c>
      <c r="D149" s="76">
        <v>8</v>
      </c>
      <c r="E149" s="100">
        <v>41862618</v>
      </c>
      <c r="F149" s="100">
        <v>89467274</v>
      </c>
      <c r="G149" s="100">
        <v>131329892</v>
      </c>
      <c r="H149" s="96">
        <v>590</v>
      </c>
      <c r="I149" s="100">
        <v>5154238</v>
      </c>
      <c r="J149" s="100">
        <v>125105212</v>
      </c>
      <c r="K149" s="100">
        <v>130259450</v>
      </c>
      <c r="L149" s="96">
        <v>629</v>
      </c>
    </row>
    <row r="150" spans="1:12" ht="15" customHeight="1">
      <c r="A150" s="86" t="s">
        <v>56</v>
      </c>
      <c r="B150" s="90"/>
      <c r="C150" s="77">
        <v>21</v>
      </c>
      <c r="D150" s="77">
        <v>9</v>
      </c>
      <c r="E150" s="101">
        <v>44660618</v>
      </c>
      <c r="F150" s="101">
        <v>76668246</v>
      </c>
      <c r="G150" s="101">
        <v>121328864</v>
      </c>
      <c r="H150" s="97">
        <v>30</v>
      </c>
      <c r="I150" s="101">
        <v>14399500</v>
      </c>
      <c r="J150" s="101">
        <v>168822796</v>
      </c>
      <c r="K150" s="101">
        <v>183222296</v>
      </c>
      <c r="L150" s="97">
        <v>39</v>
      </c>
    </row>
    <row r="151" spans="1:12" ht="15" customHeight="1">
      <c r="A151" s="85" t="s">
        <v>56</v>
      </c>
      <c r="B151" s="89"/>
      <c r="C151" s="76" t="s">
        <v>16</v>
      </c>
      <c r="D151" s="76">
        <v>1</v>
      </c>
      <c r="E151" s="100">
        <v>39337068</v>
      </c>
      <c r="F151" s="100">
        <v>100078</v>
      </c>
      <c r="G151" s="100">
        <v>39437146</v>
      </c>
      <c r="H151" s="96">
        <v>66</v>
      </c>
      <c r="I151" s="100">
        <v>3613188</v>
      </c>
      <c r="J151" s="100">
        <v>2177578</v>
      </c>
      <c r="K151" s="100">
        <v>5790766</v>
      </c>
      <c r="L151" s="96">
        <v>69</v>
      </c>
    </row>
    <row r="152" spans="1:12" ht="15" customHeight="1">
      <c r="A152" s="86" t="s">
        <v>56</v>
      </c>
      <c r="B152" s="90"/>
      <c r="C152" s="77" t="s">
        <v>16</v>
      </c>
      <c r="D152" s="77">
        <v>2</v>
      </c>
      <c r="E152" s="101">
        <v>296004477</v>
      </c>
      <c r="F152" s="101">
        <v>5281561</v>
      </c>
      <c r="G152" s="101">
        <v>301286038</v>
      </c>
      <c r="H152" s="97">
        <v>199</v>
      </c>
      <c r="I152" s="101">
        <v>248011149</v>
      </c>
      <c r="J152" s="101">
        <v>186177591</v>
      </c>
      <c r="K152" s="101">
        <v>434188740</v>
      </c>
      <c r="L152" s="97">
        <v>264</v>
      </c>
    </row>
    <row r="153" spans="1:12" ht="15" customHeight="1">
      <c r="A153" s="85" t="s">
        <v>56</v>
      </c>
      <c r="B153" s="89"/>
      <c r="C153" s="76" t="s">
        <v>16</v>
      </c>
      <c r="D153" s="76">
        <v>3</v>
      </c>
      <c r="E153" s="100">
        <v>42713753</v>
      </c>
      <c r="F153" s="100">
        <v>7625784</v>
      </c>
      <c r="G153" s="100">
        <v>50339537</v>
      </c>
      <c r="H153" s="96">
        <v>2247</v>
      </c>
      <c r="I153" s="100">
        <v>29981931</v>
      </c>
      <c r="J153" s="100">
        <v>274376486</v>
      </c>
      <c r="K153" s="100">
        <v>304358417</v>
      </c>
      <c r="L153" s="96">
        <v>2435</v>
      </c>
    </row>
    <row r="154" spans="1:12" ht="15" customHeight="1">
      <c r="A154" s="86" t="s">
        <v>56</v>
      </c>
      <c r="B154" s="90"/>
      <c r="C154" s="77" t="s">
        <v>16</v>
      </c>
      <c r="D154" s="77">
        <v>4</v>
      </c>
      <c r="E154" s="101">
        <v>1889771</v>
      </c>
      <c r="F154" s="101">
        <v>3137423</v>
      </c>
      <c r="G154" s="101">
        <v>5027194</v>
      </c>
      <c r="H154" s="97">
        <v>213</v>
      </c>
      <c r="I154" s="101">
        <v>0</v>
      </c>
      <c r="J154" s="101">
        <v>20956098</v>
      </c>
      <c r="K154" s="101">
        <v>20956098</v>
      </c>
      <c r="L154" s="97">
        <v>279</v>
      </c>
    </row>
    <row r="155" spans="1:12" ht="15" customHeight="1">
      <c r="A155" s="85" t="s">
        <v>56</v>
      </c>
      <c r="B155" s="89"/>
      <c r="C155" s="76" t="s">
        <v>16</v>
      </c>
      <c r="D155" s="76">
        <v>5</v>
      </c>
      <c r="E155" s="100">
        <v>16500000</v>
      </c>
      <c r="F155" s="100">
        <v>2378726</v>
      </c>
      <c r="G155" s="100">
        <v>18878726</v>
      </c>
      <c r="H155" s="96">
        <v>29</v>
      </c>
      <c r="I155" s="100">
        <v>0</v>
      </c>
      <c r="J155" s="100">
        <v>145581526</v>
      </c>
      <c r="K155" s="100">
        <v>145581526</v>
      </c>
      <c r="L155" s="96">
        <v>39</v>
      </c>
    </row>
    <row r="156" spans="1:12" ht="15" customHeight="1">
      <c r="A156" s="86" t="s">
        <v>56</v>
      </c>
      <c r="B156" s="90"/>
      <c r="C156" s="77" t="s">
        <v>16</v>
      </c>
      <c r="D156" s="77">
        <v>6</v>
      </c>
      <c r="E156" s="101">
        <v>0</v>
      </c>
      <c r="F156" s="101">
        <v>1295359</v>
      </c>
      <c r="G156" s="101">
        <v>1295359</v>
      </c>
      <c r="H156" s="97">
        <v>5</v>
      </c>
      <c r="I156" s="101">
        <v>0</v>
      </c>
      <c r="J156" s="101">
        <v>1410258</v>
      </c>
      <c r="K156" s="101">
        <v>1410258</v>
      </c>
      <c r="L156" s="97">
        <v>5</v>
      </c>
    </row>
    <row r="157" spans="1:12" ht="15" customHeight="1">
      <c r="A157" s="85" t="s">
        <v>56</v>
      </c>
      <c r="B157" s="89"/>
      <c r="C157" s="76" t="s">
        <v>16</v>
      </c>
      <c r="D157" s="76">
        <v>7</v>
      </c>
      <c r="E157" s="100">
        <v>0</v>
      </c>
      <c r="F157" s="100">
        <v>618007</v>
      </c>
      <c r="G157" s="100">
        <v>618007</v>
      </c>
      <c r="H157" s="96">
        <v>5</v>
      </c>
      <c r="I157" s="100">
        <v>0</v>
      </c>
      <c r="J157" s="100">
        <v>38333407</v>
      </c>
      <c r="K157" s="100">
        <v>38333407</v>
      </c>
      <c r="L157" s="96">
        <v>6</v>
      </c>
    </row>
    <row r="158" spans="1:12" ht="15" customHeight="1">
      <c r="A158" s="86" t="s">
        <v>56</v>
      </c>
      <c r="B158" s="90"/>
      <c r="C158" s="77" t="s">
        <v>16</v>
      </c>
      <c r="D158" s="77">
        <v>8</v>
      </c>
      <c r="E158" s="101">
        <v>5331555</v>
      </c>
      <c r="F158" s="101">
        <v>21437767</v>
      </c>
      <c r="G158" s="101">
        <v>26769322</v>
      </c>
      <c r="H158" s="97">
        <v>266</v>
      </c>
      <c r="I158" s="101">
        <v>262499</v>
      </c>
      <c r="J158" s="101">
        <v>55732032</v>
      </c>
      <c r="K158" s="101">
        <v>55994531</v>
      </c>
      <c r="L158" s="97">
        <v>345</v>
      </c>
    </row>
    <row r="159" spans="1:12" ht="15" customHeight="1">
      <c r="A159" s="85" t="s">
        <v>56</v>
      </c>
      <c r="B159" s="89"/>
      <c r="C159" s="76" t="s">
        <v>16</v>
      </c>
      <c r="D159" s="76">
        <v>9</v>
      </c>
      <c r="E159" s="100">
        <v>0</v>
      </c>
      <c r="F159" s="100">
        <v>685021</v>
      </c>
      <c r="G159" s="100">
        <v>685021</v>
      </c>
      <c r="H159" s="96">
        <v>18</v>
      </c>
      <c r="I159" s="100">
        <v>29446450</v>
      </c>
      <c r="J159" s="100">
        <v>82319230</v>
      </c>
      <c r="K159" s="100">
        <v>111765680</v>
      </c>
      <c r="L159" s="96">
        <v>31</v>
      </c>
    </row>
    <row r="160" spans="1:12" ht="15" customHeight="1">
      <c r="A160" s="86" t="s">
        <v>56</v>
      </c>
      <c r="B160" s="90"/>
      <c r="C160" s="77" t="s">
        <v>17</v>
      </c>
      <c r="D160" s="77">
        <v>1</v>
      </c>
      <c r="E160" s="101">
        <v>18795925</v>
      </c>
      <c r="F160" s="101">
        <v>14055953</v>
      </c>
      <c r="G160" s="101">
        <v>32851878</v>
      </c>
      <c r="H160" s="97">
        <v>37</v>
      </c>
      <c r="I160" s="101">
        <v>2271648</v>
      </c>
      <c r="J160" s="101">
        <v>18644130</v>
      </c>
      <c r="K160" s="101">
        <v>20915778</v>
      </c>
      <c r="L160" s="97">
        <v>39</v>
      </c>
    </row>
    <row r="161" spans="1:12" ht="15" customHeight="1">
      <c r="A161" s="85" t="s">
        <v>56</v>
      </c>
      <c r="B161" s="89"/>
      <c r="C161" s="76" t="s">
        <v>17</v>
      </c>
      <c r="D161" s="76">
        <v>2</v>
      </c>
      <c r="E161" s="100">
        <v>111702676</v>
      </c>
      <c r="F161" s="100">
        <v>237005929</v>
      </c>
      <c r="G161" s="100">
        <v>348708605</v>
      </c>
      <c r="H161" s="96">
        <v>511</v>
      </c>
      <c r="I161" s="100">
        <v>510784639</v>
      </c>
      <c r="J161" s="100">
        <v>496006347</v>
      </c>
      <c r="K161" s="100">
        <v>1006790986</v>
      </c>
      <c r="L161" s="96">
        <v>596</v>
      </c>
    </row>
    <row r="162" spans="1:12" ht="15" customHeight="1">
      <c r="A162" s="86" t="s">
        <v>56</v>
      </c>
      <c r="B162" s="90"/>
      <c r="C162" s="77" t="s">
        <v>17</v>
      </c>
      <c r="D162" s="77">
        <v>3</v>
      </c>
      <c r="E162" s="101">
        <v>894199235</v>
      </c>
      <c r="F162" s="101">
        <v>743639372</v>
      </c>
      <c r="G162" s="101">
        <v>1637838607</v>
      </c>
      <c r="H162" s="97">
        <v>4148</v>
      </c>
      <c r="I162" s="101">
        <v>414718379</v>
      </c>
      <c r="J162" s="101">
        <v>1226912783</v>
      </c>
      <c r="K162" s="101">
        <v>1641631162</v>
      </c>
      <c r="L162" s="97">
        <v>4285</v>
      </c>
    </row>
    <row r="163" spans="1:12" ht="15" customHeight="1">
      <c r="A163" s="85" t="s">
        <v>56</v>
      </c>
      <c r="B163" s="89"/>
      <c r="C163" s="76" t="s">
        <v>17</v>
      </c>
      <c r="D163" s="76">
        <v>4</v>
      </c>
      <c r="E163" s="100">
        <v>31426073</v>
      </c>
      <c r="F163" s="100">
        <v>255813743</v>
      </c>
      <c r="G163" s="100">
        <v>287239816</v>
      </c>
      <c r="H163" s="96">
        <v>583</v>
      </c>
      <c r="I163" s="100">
        <v>0</v>
      </c>
      <c r="J163" s="100">
        <v>297962249</v>
      </c>
      <c r="K163" s="100">
        <v>297962249</v>
      </c>
      <c r="L163" s="96">
        <v>591</v>
      </c>
    </row>
    <row r="164" spans="1:12" ht="15" customHeight="1">
      <c r="A164" s="86" t="s">
        <v>56</v>
      </c>
      <c r="B164" s="90"/>
      <c r="C164" s="77" t="s">
        <v>17</v>
      </c>
      <c r="D164" s="77">
        <v>5</v>
      </c>
      <c r="E164" s="101">
        <v>253681222</v>
      </c>
      <c r="F164" s="101">
        <v>518027177</v>
      </c>
      <c r="G164" s="101">
        <v>771708399</v>
      </c>
      <c r="H164" s="97">
        <v>37</v>
      </c>
      <c r="I164" s="101">
        <v>0</v>
      </c>
      <c r="J164" s="101">
        <v>679686125</v>
      </c>
      <c r="K164" s="101">
        <v>679686125</v>
      </c>
      <c r="L164" s="97">
        <v>38</v>
      </c>
    </row>
    <row r="165" spans="1:12" ht="15" customHeight="1">
      <c r="A165" s="85" t="s">
        <v>56</v>
      </c>
      <c r="B165" s="89"/>
      <c r="C165" s="76" t="s">
        <v>17</v>
      </c>
      <c r="D165" s="76">
        <v>6</v>
      </c>
      <c r="E165" s="100">
        <v>16610511</v>
      </c>
      <c r="F165" s="100">
        <v>32343399</v>
      </c>
      <c r="G165" s="100">
        <v>48953910</v>
      </c>
      <c r="H165" s="96">
        <v>45</v>
      </c>
      <c r="I165" s="100">
        <v>0</v>
      </c>
      <c r="J165" s="100">
        <v>47012479</v>
      </c>
      <c r="K165" s="100">
        <v>47012479</v>
      </c>
      <c r="L165" s="96">
        <v>48</v>
      </c>
    </row>
    <row r="166" spans="1:12" ht="15" customHeight="1">
      <c r="A166" s="86" t="s">
        <v>56</v>
      </c>
      <c r="B166" s="90"/>
      <c r="C166" s="77" t="s">
        <v>17</v>
      </c>
      <c r="D166" s="77">
        <v>7</v>
      </c>
      <c r="E166" s="101">
        <v>21250</v>
      </c>
      <c r="F166" s="101">
        <v>20269039</v>
      </c>
      <c r="G166" s="101">
        <v>20290289</v>
      </c>
      <c r="H166" s="97">
        <v>5</v>
      </c>
      <c r="I166" s="101">
        <v>0</v>
      </c>
      <c r="J166" s="101">
        <v>109206714</v>
      </c>
      <c r="K166" s="101">
        <v>109206714</v>
      </c>
      <c r="L166" s="97">
        <v>7</v>
      </c>
    </row>
    <row r="167" spans="1:12" ht="15" customHeight="1">
      <c r="A167" s="85" t="s">
        <v>56</v>
      </c>
      <c r="B167" s="89"/>
      <c r="C167" s="76" t="s">
        <v>17</v>
      </c>
      <c r="D167" s="76">
        <v>8</v>
      </c>
      <c r="E167" s="100">
        <v>483103655</v>
      </c>
      <c r="F167" s="100">
        <v>1272369133</v>
      </c>
      <c r="G167" s="100">
        <v>1755472788</v>
      </c>
      <c r="H167" s="96">
        <v>3439</v>
      </c>
      <c r="I167" s="100">
        <v>7483396</v>
      </c>
      <c r="J167" s="100">
        <v>1950914779</v>
      </c>
      <c r="K167" s="100">
        <v>1958398175</v>
      </c>
      <c r="L167" s="96">
        <v>3508</v>
      </c>
    </row>
    <row r="168" spans="1:12" ht="15" customHeight="1">
      <c r="A168" s="86" t="s">
        <v>56</v>
      </c>
      <c r="B168" s="90"/>
      <c r="C168" s="77" t="s">
        <v>17</v>
      </c>
      <c r="D168" s="77">
        <v>9</v>
      </c>
      <c r="E168" s="101">
        <v>321518318</v>
      </c>
      <c r="F168" s="101">
        <v>177251151</v>
      </c>
      <c r="G168" s="101">
        <v>498769469</v>
      </c>
      <c r="H168" s="97">
        <v>47</v>
      </c>
      <c r="I168" s="101">
        <v>7421600</v>
      </c>
      <c r="J168" s="101">
        <v>349254449</v>
      </c>
      <c r="K168" s="101">
        <v>356676049</v>
      </c>
      <c r="L168" s="97">
        <v>50</v>
      </c>
    </row>
    <row r="169" spans="1:12" ht="15" customHeight="1">
      <c r="A169" s="85" t="s">
        <v>56</v>
      </c>
      <c r="B169" s="89"/>
      <c r="C169" s="76" t="s">
        <v>18</v>
      </c>
      <c r="D169" s="76">
        <v>1</v>
      </c>
      <c r="E169" s="100">
        <v>32474493</v>
      </c>
      <c r="F169" s="100">
        <v>1220506</v>
      </c>
      <c r="G169" s="100">
        <v>33694999</v>
      </c>
      <c r="H169" s="96">
        <v>37</v>
      </c>
      <c r="I169" s="100">
        <v>18215944</v>
      </c>
      <c r="J169" s="100">
        <v>7805961</v>
      </c>
      <c r="K169" s="100">
        <v>26021905</v>
      </c>
      <c r="L169" s="96">
        <v>40</v>
      </c>
    </row>
    <row r="170" spans="1:12" ht="15" customHeight="1">
      <c r="A170" s="86" t="s">
        <v>56</v>
      </c>
      <c r="B170" s="90"/>
      <c r="C170" s="77" t="s">
        <v>18</v>
      </c>
      <c r="D170" s="77">
        <v>2</v>
      </c>
      <c r="E170" s="101">
        <v>137441291</v>
      </c>
      <c r="F170" s="101">
        <v>55063744</v>
      </c>
      <c r="G170" s="101">
        <v>192505035</v>
      </c>
      <c r="H170" s="97">
        <v>268</v>
      </c>
      <c r="I170" s="101">
        <v>191311561</v>
      </c>
      <c r="J170" s="101">
        <v>215327053</v>
      </c>
      <c r="K170" s="101">
        <v>406638614</v>
      </c>
      <c r="L170" s="97">
        <v>331</v>
      </c>
    </row>
    <row r="171" spans="1:12" ht="15" customHeight="1">
      <c r="A171" s="85" t="s">
        <v>56</v>
      </c>
      <c r="B171" s="89"/>
      <c r="C171" s="76" t="s">
        <v>18</v>
      </c>
      <c r="D171" s="76">
        <v>3</v>
      </c>
      <c r="E171" s="100">
        <v>340115339</v>
      </c>
      <c r="F171" s="100">
        <v>343253255</v>
      </c>
      <c r="G171" s="100">
        <v>683368594</v>
      </c>
      <c r="H171" s="96">
        <v>2487</v>
      </c>
      <c r="I171" s="100">
        <v>326538696</v>
      </c>
      <c r="J171" s="100">
        <v>641236993</v>
      </c>
      <c r="K171" s="100">
        <v>967775689</v>
      </c>
      <c r="L171" s="96">
        <v>2655</v>
      </c>
    </row>
    <row r="172" spans="1:12" ht="15" customHeight="1">
      <c r="A172" s="86" t="s">
        <v>56</v>
      </c>
      <c r="B172" s="90"/>
      <c r="C172" s="77" t="s">
        <v>18</v>
      </c>
      <c r="D172" s="77">
        <v>4</v>
      </c>
      <c r="E172" s="101">
        <v>1468392</v>
      </c>
      <c r="F172" s="101">
        <v>11334534</v>
      </c>
      <c r="G172" s="101">
        <v>12802926</v>
      </c>
      <c r="H172" s="97">
        <v>37</v>
      </c>
      <c r="I172" s="101">
        <v>0</v>
      </c>
      <c r="J172" s="101">
        <v>16839822</v>
      </c>
      <c r="K172" s="101">
        <v>16839822</v>
      </c>
      <c r="L172" s="97">
        <v>39</v>
      </c>
    </row>
    <row r="173" spans="1:12" ht="15" customHeight="1">
      <c r="A173" s="85" t="s">
        <v>56</v>
      </c>
      <c r="B173" s="89"/>
      <c r="C173" s="76" t="s">
        <v>18</v>
      </c>
      <c r="D173" s="76">
        <v>5</v>
      </c>
      <c r="E173" s="100">
        <v>0</v>
      </c>
      <c r="F173" s="100">
        <v>10517600</v>
      </c>
      <c r="G173" s="100">
        <v>10517600</v>
      </c>
      <c r="H173" s="96">
        <v>2</v>
      </c>
      <c r="I173" s="100">
        <v>0</v>
      </c>
      <c r="J173" s="100">
        <v>10517600</v>
      </c>
      <c r="K173" s="100">
        <v>10517600</v>
      </c>
      <c r="L173" s="96">
        <v>2</v>
      </c>
    </row>
    <row r="174" spans="1:12" ht="15" customHeight="1">
      <c r="A174" s="86" t="s">
        <v>56</v>
      </c>
      <c r="B174" s="90"/>
      <c r="C174" s="77" t="s">
        <v>18</v>
      </c>
      <c r="D174" s="77">
        <v>6</v>
      </c>
      <c r="E174" s="101">
        <v>0</v>
      </c>
      <c r="F174" s="101">
        <v>5202935</v>
      </c>
      <c r="G174" s="101">
        <v>5202935</v>
      </c>
      <c r="H174" s="97">
        <v>3</v>
      </c>
      <c r="I174" s="101">
        <v>0</v>
      </c>
      <c r="J174" s="101">
        <v>5202935</v>
      </c>
      <c r="K174" s="101">
        <v>5202935</v>
      </c>
      <c r="L174" s="97">
        <v>3</v>
      </c>
    </row>
    <row r="175" spans="1:12" ht="15" customHeight="1">
      <c r="A175" s="85" t="s">
        <v>56</v>
      </c>
      <c r="B175" s="89"/>
      <c r="C175" s="76" t="s">
        <v>18</v>
      </c>
      <c r="D175" s="76">
        <v>7</v>
      </c>
      <c r="E175" s="100">
        <v>20002000</v>
      </c>
      <c r="F175" s="100">
        <v>17556100</v>
      </c>
      <c r="G175" s="100">
        <v>37558100</v>
      </c>
      <c r="H175" s="96">
        <v>8</v>
      </c>
      <c r="I175" s="100">
        <v>0</v>
      </c>
      <c r="J175" s="100">
        <v>36197300</v>
      </c>
      <c r="K175" s="100">
        <v>36197300</v>
      </c>
      <c r="L175" s="96">
        <v>8</v>
      </c>
    </row>
    <row r="176" spans="1:12" ht="15" customHeight="1">
      <c r="A176" s="86" t="s">
        <v>56</v>
      </c>
      <c r="B176" s="90"/>
      <c r="C176" s="77" t="s">
        <v>18</v>
      </c>
      <c r="D176" s="77">
        <v>8</v>
      </c>
      <c r="E176" s="101">
        <v>3145021</v>
      </c>
      <c r="F176" s="101">
        <v>6354543</v>
      </c>
      <c r="G176" s="101">
        <v>9499564</v>
      </c>
      <c r="H176" s="97">
        <v>16</v>
      </c>
      <c r="I176" s="101">
        <v>0</v>
      </c>
      <c r="J176" s="101">
        <v>8655368</v>
      </c>
      <c r="K176" s="101">
        <v>8655368</v>
      </c>
      <c r="L176" s="97">
        <v>16</v>
      </c>
    </row>
    <row r="177" spans="1:12" ht="15" customHeight="1" thickBot="1">
      <c r="A177" s="87" t="s">
        <v>56</v>
      </c>
      <c r="B177" s="91"/>
      <c r="C177" s="78" t="s">
        <v>18</v>
      </c>
      <c r="D177" s="78">
        <v>9</v>
      </c>
      <c r="E177" s="102">
        <v>0</v>
      </c>
      <c r="F177" s="102">
        <v>0</v>
      </c>
      <c r="G177" s="102">
        <v>0</v>
      </c>
      <c r="H177" s="98">
        <v>2</v>
      </c>
      <c r="I177" s="102">
        <v>0</v>
      </c>
      <c r="J177" s="102">
        <v>0</v>
      </c>
      <c r="K177" s="102">
        <v>0</v>
      </c>
      <c r="L177" s="98">
        <v>2</v>
      </c>
    </row>
  </sheetData>
  <mergeCells count="15">
    <mergeCell ref="A4:D4"/>
    <mergeCell ref="A5:A6"/>
    <mergeCell ref="B5:B6"/>
    <mergeCell ref="C5:D5"/>
    <mergeCell ref="A1:D1"/>
    <mergeCell ref="A2:D2"/>
    <mergeCell ref="A3:D3"/>
    <mergeCell ref="I1:L1"/>
    <mergeCell ref="I2:L2"/>
    <mergeCell ref="I3:L3"/>
    <mergeCell ref="I4:L4"/>
    <mergeCell ref="E4:H4"/>
    <mergeCell ref="E1:H1"/>
    <mergeCell ref="E2:H2"/>
    <mergeCell ref="E3:H3"/>
  </mergeCells>
  <pageMargins left="0.74803149606299213" right="0.74803149606299213" top="1.3779527559055118" bottom="0.98425196850393704" header="0" footer="0"/>
  <pageSetup paperSize="9" orientation="portrait" verticalDpi="300" r:id="rId1"/>
  <headerFooter>
    <oddHeader>&amp;L&amp;G&amp;R&amp;G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W177"/>
  <sheetViews>
    <sheetView zoomScale="85" zoomScaleNormal="85" zoomScaleSheetLayoutView="70" workbookViewId="0">
      <selection sqref="A1:D1"/>
    </sheetView>
  </sheetViews>
  <sheetFormatPr baseColWidth="10" defaultRowHeight="12.75"/>
  <cols>
    <col min="1" max="1" width="12.42578125" style="2" customWidth="1"/>
    <col min="2" max="2" width="23.42578125" style="2" customWidth="1"/>
    <col min="3" max="3" width="4" style="3" bestFit="1" customWidth="1"/>
    <col min="4" max="4" width="9" style="3" customWidth="1"/>
    <col min="5" max="7" width="24.7109375" style="103" customWidth="1"/>
    <col min="8" max="8" width="24.7109375" style="104" customWidth="1"/>
    <col min="9" max="11" width="24.7109375" style="103" customWidth="1"/>
    <col min="12" max="12" width="24.7109375" style="104" customWidth="1"/>
    <col min="13" max="15" width="24.7109375" style="103" customWidth="1"/>
    <col min="16" max="16" width="24.7109375" style="104" customWidth="1"/>
    <col min="17" max="16384" width="11.42578125" style="2"/>
  </cols>
  <sheetData>
    <row r="1" spans="1:16" s="6" customFormat="1" ht="18.75">
      <c r="A1" s="159" t="s">
        <v>37</v>
      </c>
      <c r="B1" s="160"/>
      <c r="C1" s="160"/>
      <c r="D1" s="160"/>
      <c r="E1" s="161" t="s">
        <v>55</v>
      </c>
      <c r="F1" s="161"/>
      <c r="G1" s="161"/>
      <c r="H1" s="168"/>
      <c r="I1" s="161" t="s">
        <v>55</v>
      </c>
      <c r="J1" s="161"/>
      <c r="K1" s="161"/>
      <c r="L1" s="162"/>
      <c r="M1" s="161" t="s">
        <v>55</v>
      </c>
      <c r="N1" s="161"/>
      <c r="O1" s="161"/>
      <c r="P1" s="162"/>
    </row>
    <row r="2" spans="1:16" s="7" customFormat="1" ht="21" customHeight="1">
      <c r="A2" s="155" t="s">
        <v>83</v>
      </c>
      <c r="B2" s="163"/>
      <c r="C2" s="163"/>
      <c r="D2" s="163"/>
      <c r="E2" s="153" t="s">
        <v>144</v>
      </c>
      <c r="F2" s="153"/>
      <c r="G2" s="153"/>
      <c r="H2" s="169"/>
      <c r="I2" s="153" t="s">
        <v>144</v>
      </c>
      <c r="J2" s="153"/>
      <c r="K2" s="153"/>
      <c r="L2" s="154"/>
      <c r="M2" s="153" t="s">
        <v>144</v>
      </c>
      <c r="N2" s="153"/>
      <c r="O2" s="153"/>
      <c r="P2" s="154"/>
    </row>
    <row r="3" spans="1:16" s="7" customFormat="1" ht="21" customHeight="1">
      <c r="A3" s="155" t="s">
        <v>99</v>
      </c>
      <c r="B3" s="163"/>
      <c r="C3" s="163"/>
      <c r="D3" s="163"/>
      <c r="E3" s="153" t="s">
        <v>100</v>
      </c>
      <c r="F3" s="153"/>
      <c r="G3" s="153"/>
      <c r="H3" s="169"/>
      <c r="I3" s="153" t="s">
        <v>132</v>
      </c>
      <c r="J3" s="153"/>
      <c r="K3" s="153"/>
      <c r="L3" s="154"/>
      <c r="M3" s="153" t="s">
        <v>153</v>
      </c>
      <c r="N3" s="153"/>
      <c r="O3" s="153"/>
      <c r="P3" s="154"/>
    </row>
    <row r="4" spans="1:16" s="8" customFormat="1" ht="21" customHeight="1">
      <c r="A4" s="150" t="s">
        <v>98</v>
      </c>
      <c r="B4" s="151"/>
      <c r="C4" s="151"/>
      <c r="D4" s="152"/>
      <c r="E4" s="153" t="s">
        <v>145</v>
      </c>
      <c r="F4" s="153"/>
      <c r="G4" s="153"/>
      <c r="H4" s="169"/>
      <c r="I4" s="153" t="s">
        <v>142</v>
      </c>
      <c r="J4" s="153"/>
      <c r="K4" s="153"/>
      <c r="L4" s="154"/>
      <c r="M4" s="153" t="s">
        <v>151</v>
      </c>
      <c r="N4" s="153"/>
      <c r="O4" s="153"/>
      <c r="P4" s="154"/>
    </row>
    <row r="5" spans="1:16" s="5" customFormat="1">
      <c r="A5" s="155" t="s">
        <v>135</v>
      </c>
      <c r="B5" s="157" t="s">
        <v>136</v>
      </c>
      <c r="C5" s="157" t="s">
        <v>137</v>
      </c>
      <c r="D5" s="157"/>
      <c r="E5" s="130" t="s">
        <v>2</v>
      </c>
      <c r="F5" s="130" t="s">
        <v>2</v>
      </c>
      <c r="G5" s="130" t="s">
        <v>35</v>
      </c>
      <c r="H5" s="134" t="s">
        <v>138</v>
      </c>
      <c r="I5" s="130" t="s">
        <v>2</v>
      </c>
      <c r="J5" s="130" t="s">
        <v>2</v>
      </c>
      <c r="K5" s="130" t="s">
        <v>35</v>
      </c>
      <c r="L5" s="131" t="s">
        <v>138</v>
      </c>
      <c r="M5" s="130" t="s">
        <v>2</v>
      </c>
      <c r="N5" s="130" t="s">
        <v>2</v>
      </c>
      <c r="O5" s="130" t="s">
        <v>35</v>
      </c>
      <c r="P5" s="131" t="s">
        <v>138</v>
      </c>
    </row>
    <row r="6" spans="1:16" s="5" customFormat="1" ht="13.5" thickBot="1">
      <c r="A6" s="156" t="s">
        <v>32</v>
      </c>
      <c r="B6" s="158" t="s">
        <v>31</v>
      </c>
      <c r="C6" s="93" t="s">
        <v>0</v>
      </c>
      <c r="D6" s="74" t="s">
        <v>1</v>
      </c>
      <c r="E6" s="132" t="s">
        <v>34</v>
      </c>
      <c r="F6" s="132" t="s">
        <v>3</v>
      </c>
      <c r="G6" s="132" t="s">
        <v>36</v>
      </c>
      <c r="H6" s="135" t="s">
        <v>139</v>
      </c>
      <c r="I6" s="132" t="s">
        <v>34</v>
      </c>
      <c r="J6" s="132" t="s">
        <v>3</v>
      </c>
      <c r="K6" s="132" t="s">
        <v>36</v>
      </c>
      <c r="L6" s="133" t="s">
        <v>139</v>
      </c>
      <c r="M6" s="132" t="s">
        <v>34</v>
      </c>
      <c r="N6" s="132" t="s">
        <v>3</v>
      </c>
      <c r="O6" s="132" t="s">
        <v>36</v>
      </c>
      <c r="P6" s="133" t="s">
        <v>139</v>
      </c>
    </row>
    <row r="7" spans="1:16" s="9" customFormat="1" ht="15" customHeight="1">
      <c r="A7" s="83" t="s">
        <v>4</v>
      </c>
      <c r="B7" s="88" t="s">
        <v>5</v>
      </c>
      <c r="C7" s="75"/>
      <c r="D7" s="75"/>
      <c r="E7" s="99">
        <f>SUM(E8:E16)</f>
        <v>230591851664</v>
      </c>
      <c r="F7" s="99">
        <f t="shared" ref="F7:G7" si="0">SUM(F8:F16)</f>
        <v>326117084666</v>
      </c>
      <c r="G7" s="99">
        <f t="shared" si="0"/>
        <v>556708936330</v>
      </c>
      <c r="H7" s="95">
        <f>SUM(H8:H16)</f>
        <v>3403852</v>
      </c>
      <c r="I7" s="99">
        <f t="shared" ref="I7:P7" si="1">SUM(I8:I16)</f>
        <v>137080709671</v>
      </c>
      <c r="J7" s="99">
        <f t="shared" si="1"/>
        <v>559786677639</v>
      </c>
      <c r="K7" s="99">
        <f t="shared" si="1"/>
        <v>696867387310</v>
      </c>
      <c r="L7" s="95">
        <f t="shared" si="1"/>
        <v>3660430</v>
      </c>
      <c r="M7" s="99">
        <f t="shared" si="1"/>
        <v>172435217887</v>
      </c>
      <c r="N7" s="99">
        <f t="shared" si="1"/>
        <v>679219357266</v>
      </c>
      <c r="O7" s="99">
        <f t="shared" si="1"/>
        <v>851654575153</v>
      </c>
      <c r="P7" s="95">
        <f t="shared" si="1"/>
        <v>3804230</v>
      </c>
    </row>
    <row r="8" spans="1:16" ht="15" customHeight="1">
      <c r="A8" s="85" t="s">
        <v>4</v>
      </c>
      <c r="B8" s="89" t="s">
        <v>39</v>
      </c>
      <c r="C8" s="76">
        <v>1</v>
      </c>
      <c r="D8" s="76"/>
      <c r="E8" s="100">
        <v>2142304751</v>
      </c>
      <c r="F8" s="100">
        <v>657681412</v>
      </c>
      <c r="G8" s="100">
        <v>2799986163</v>
      </c>
      <c r="H8" s="96">
        <v>19993</v>
      </c>
      <c r="I8" s="100">
        <v>4559231277</v>
      </c>
      <c r="J8" s="100">
        <v>2474043018</v>
      </c>
      <c r="K8" s="100">
        <v>7033274295</v>
      </c>
      <c r="L8" s="96">
        <v>21186</v>
      </c>
      <c r="M8" s="100">
        <v>6340706923</v>
      </c>
      <c r="N8" s="100">
        <v>5544733593</v>
      </c>
      <c r="O8" s="100">
        <v>11885440516</v>
      </c>
      <c r="P8" s="96">
        <v>23456</v>
      </c>
    </row>
    <row r="9" spans="1:16" ht="15" customHeight="1">
      <c r="A9" s="86" t="s">
        <v>4</v>
      </c>
      <c r="B9" s="90" t="s">
        <v>38</v>
      </c>
      <c r="C9" s="77">
        <v>2</v>
      </c>
      <c r="D9" s="77"/>
      <c r="E9" s="101">
        <v>29290875054</v>
      </c>
      <c r="F9" s="101">
        <v>16681361599</v>
      </c>
      <c r="G9" s="101">
        <v>45972236653</v>
      </c>
      <c r="H9" s="97">
        <v>165349</v>
      </c>
      <c r="I9" s="101">
        <v>73253308212</v>
      </c>
      <c r="J9" s="101">
        <v>61803300754</v>
      </c>
      <c r="K9" s="101">
        <v>135056608966</v>
      </c>
      <c r="L9" s="97">
        <v>185286</v>
      </c>
      <c r="M9" s="101">
        <v>107314219649</v>
      </c>
      <c r="N9" s="101">
        <v>137383093728</v>
      </c>
      <c r="O9" s="101">
        <v>244697313377</v>
      </c>
      <c r="P9" s="97">
        <v>192364</v>
      </c>
    </row>
    <row r="10" spans="1:16" ht="15" customHeight="1">
      <c r="A10" s="85" t="s">
        <v>4</v>
      </c>
      <c r="B10" s="89" t="s">
        <v>40</v>
      </c>
      <c r="C10" s="76">
        <v>3</v>
      </c>
      <c r="D10" s="76"/>
      <c r="E10" s="100">
        <v>60235096088</v>
      </c>
      <c r="F10" s="100">
        <v>56978298393</v>
      </c>
      <c r="G10" s="100">
        <v>117213394481</v>
      </c>
      <c r="H10" s="96">
        <v>1539845</v>
      </c>
      <c r="I10" s="100">
        <v>44524683807</v>
      </c>
      <c r="J10" s="100">
        <v>110463464417</v>
      </c>
      <c r="K10" s="100">
        <v>154988148224</v>
      </c>
      <c r="L10" s="96">
        <v>1629116</v>
      </c>
      <c r="M10" s="100">
        <v>48867693597</v>
      </c>
      <c r="N10" s="100">
        <v>135776024657</v>
      </c>
      <c r="O10" s="100">
        <v>184643718254</v>
      </c>
      <c r="P10" s="96">
        <v>1761332</v>
      </c>
    </row>
    <row r="11" spans="1:16" ht="15" customHeight="1">
      <c r="A11" s="86" t="s">
        <v>4</v>
      </c>
      <c r="B11" s="90" t="s">
        <v>6</v>
      </c>
      <c r="C11" s="77">
        <v>4</v>
      </c>
      <c r="D11" s="77"/>
      <c r="E11" s="101">
        <v>7360540697</v>
      </c>
      <c r="F11" s="101">
        <v>42750934637</v>
      </c>
      <c r="G11" s="101">
        <v>50111475334</v>
      </c>
      <c r="H11" s="97">
        <v>355605</v>
      </c>
      <c r="I11" s="101">
        <v>613786302</v>
      </c>
      <c r="J11" s="101">
        <v>50777944016</v>
      </c>
      <c r="K11" s="101">
        <v>51391730318</v>
      </c>
      <c r="L11" s="97">
        <v>380695</v>
      </c>
      <c r="M11" s="101">
        <v>121313683</v>
      </c>
      <c r="N11" s="101">
        <v>51171638280</v>
      </c>
      <c r="O11" s="101">
        <v>51292951963</v>
      </c>
      <c r="P11" s="97">
        <v>380820</v>
      </c>
    </row>
    <row r="12" spans="1:16" ht="15" customHeight="1">
      <c r="A12" s="85" t="s">
        <v>4</v>
      </c>
      <c r="B12" s="89" t="s">
        <v>7</v>
      </c>
      <c r="C12" s="76">
        <v>5</v>
      </c>
      <c r="D12" s="76"/>
      <c r="E12" s="100">
        <v>30780368579</v>
      </c>
      <c r="F12" s="100">
        <v>54846475221</v>
      </c>
      <c r="G12" s="100">
        <v>85626843800</v>
      </c>
      <c r="H12" s="96">
        <v>52106</v>
      </c>
      <c r="I12" s="100">
        <v>1611533753</v>
      </c>
      <c r="J12" s="100">
        <v>78085938957</v>
      </c>
      <c r="K12" s="100">
        <v>79697472710</v>
      </c>
      <c r="L12" s="96">
        <v>55069</v>
      </c>
      <c r="M12" s="100">
        <v>959784138</v>
      </c>
      <c r="N12" s="100">
        <v>80501030600</v>
      </c>
      <c r="O12" s="100">
        <v>81460814738</v>
      </c>
      <c r="P12" s="96">
        <v>55258</v>
      </c>
    </row>
    <row r="13" spans="1:16" ht="15" customHeight="1">
      <c r="A13" s="86" t="s">
        <v>4</v>
      </c>
      <c r="B13" s="90" t="s">
        <v>8</v>
      </c>
      <c r="C13" s="77">
        <v>6</v>
      </c>
      <c r="D13" s="77"/>
      <c r="E13" s="101">
        <v>853973814</v>
      </c>
      <c r="F13" s="101">
        <v>1328253407</v>
      </c>
      <c r="G13" s="101">
        <v>2182227221</v>
      </c>
      <c r="H13" s="97">
        <v>5073</v>
      </c>
      <c r="I13" s="101">
        <v>65753021</v>
      </c>
      <c r="J13" s="101">
        <v>1871712873</v>
      </c>
      <c r="K13" s="101">
        <v>1937465894</v>
      </c>
      <c r="L13" s="97">
        <v>5410</v>
      </c>
      <c r="M13" s="101">
        <v>58286026</v>
      </c>
      <c r="N13" s="101">
        <v>1969186627</v>
      </c>
      <c r="O13" s="101">
        <v>2027472653</v>
      </c>
      <c r="P13" s="97">
        <v>5420</v>
      </c>
    </row>
    <row r="14" spans="1:16" ht="15" customHeight="1">
      <c r="A14" s="85" t="s">
        <v>4</v>
      </c>
      <c r="B14" s="89" t="s">
        <v>9</v>
      </c>
      <c r="C14" s="76">
        <v>7</v>
      </c>
      <c r="D14" s="76"/>
      <c r="E14" s="100">
        <v>4177903440</v>
      </c>
      <c r="F14" s="100">
        <v>7529636902</v>
      </c>
      <c r="G14" s="100">
        <v>11707540342</v>
      </c>
      <c r="H14" s="96">
        <v>4270</v>
      </c>
      <c r="I14" s="100">
        <v>358095044</v>
      </c>
      <c r="J14" s="100">
        <v>10702461056</v>
      </c>
      <c r="K14" s="100">
        <v>11060556100</v>
      </c>
      <c r="L14" s="96">
        <v>4739</v>
      </c>
      <c r="M14" s="100">
        <v>223355856</v>
      </c>
      <c r="N14" s="100">
        <v>10958466921</v>
      </c>
      <c r="O14" s="100">
        <v>11181822777</v>
      </c>
      <c r="P14" s="96">
        <v>4749</v>
      </c>
    </row>
    <row r="15" spans="1:16" ht="15" customHeight="1">
      <c r="A15" s="86" t="s">
        <v>4</v>
      </c>
      <c r="B15" s="90" t="s">
        <v>10</v>
      </c>
      <c r="C15" s="77">
        <v>8</v>
      </c>
      <c r="D15" s="77"/>
      <c r="E15" s="101">
        <v>66317646539</v>
      </c>
      <c r="F15" s="101">
        <v>112142748857</v>
      </c>
      <c r="G15" s="101">
        <v>178460395396</v>
      </c>
      <c r="H15" s="97">
        <v>1232279</v>
      </c>
      <c r="I15" s="101">
        <v>7493772516</v>
      </c>
      <c r="J15" s="101">
        <v>180574330188</v>
      </c>
      <c r="K15" s="101">
        <v>188068102704</v>
      </c>
      <c r="L15" s="97">
        <v>1344955</v>
      </c>
      <c r="M15" s="101">
        <v>4071555283</v>
      </c>
      <c r="N15" s="101">
        <v>188140516390</v>
      </c>
      <c r="O15" s="101">
        <v>192212071673</v>
      </c>
      <c r="P15" s="97">
        <v>1346372</v>
      </c>
    </row>
    <row r="16" spans="1:16" ht="15" customHeight="1" thickBot="1">
      <c r="A16" s="85" t="s">
        <v>4</v>
      </c>
      <c r="B16" s="89" t="s">
        <v>11</v>
      </c>
      <c r="C16" s="76">
        <v>9</v>
      </c>
      <c r="D16" s="76"/>
      <c r="E16" s="100">
        <v>29433142702</v>
      </c>
      <c r="F16" s="100">
        <v>33201694238</v>
      </c>
      <c r="G16" s="100">
        <v>62634836940</v>
      </c>
      <c r="H16" s="96">
        <v>29332</v>
      </c>
      <c r="I16" s="100">
        <v>4600545739</v>
      </c>
      <c r="J16" s="100">
        <v>63033482360</v>
      </c>
      <c r="K16" s="100">
        <v>67634028099</v>
      </c>
      <c r="L16" s="96">
        <v>33974</v>
      </c>
      <c r="M16" s="100">
        <v>4478302732</v>
      </c>
      <c r="N16" s="100">
        <v>67774666470</v>
      </c>
      <c r="O16" s="100">
        <v>72252969202</v>
      </c>
      <c r="P16" s="96">
        <v>34459</v>
      </c>
    </row>
    <row r="17" spans="1:16" s="9" customFormat="1" ht="15" customHeight="1">
      <c r="A17" s="83" t="s">
        <v>4</v>
      </c>
      <c r="B17" s="88" t="s">
        <v>5</v>
      </c>
      <c r="C17" s="75"/>
      <c r="D17" s="75"/>
      <c r="E17" s="99">
        <f>SUM(E18:E19)</f>
        <v>230591851664</v>
      </c>
      <c r="F17" s="99">
        <f t="shared" ref="F17:P17" si="2">SUM(F18:F19)</f>
        <v>326117084666</v>
      </c>
      <c r="G17" s="99">
        <f t="shared" si="2"/>
        <v>556708936330</v>
      </c>
      <c r="H17" s="95">
        <f t="shared" si="2"/>
        <v>3403852</v>
      </c>
      <c r="I17" s="99">
        <f>SUM(I18:I19)</f>
        <v>137080709671</v>
      </c>
      <c r="J17" s="99">
        <f t="shared" si="2"/>
        <v>559786677639</v>
      </c>
      <c r="K17" s="99">
        <f t="shared" si="2"/>
        <v>696867387310</v>
      </c>
      <c r="L17" s="95">
        <f t="shared" si="2"/>
        <v>3660430</v>
      </c>
      <c r="M17" s="99">
        <f>SUM(M18:M19)</f>
        <v>172435217887</v>
      </c>
      <c r="N17" s="99">
        <f t="shared" si="2"/>
        <v>679219357266</v>
      </c>
      <c r="O17" s="99">
        <f t="shared" si="2"/>
        <v>851654575153</v>
      </c>
      <c r="P17" s="95">
        <f t="shared" si="2"/>
        <v>3804230</v>
      </c>
    </row>
    <row r="18" spans="1:16" s="9" customFormat="1" ht="15" customHeight="1">
      <c r="A18" s="85" t="s">
        <v>4</v>
      </c>
      <c r="B18" s="89" t="s">
        <v>12</v>
      </c>
      <c r="C18" s="164" t="s">
        <v>19</v>
      </c>
      <c r="D18" s="165"/>
      <c r="E18" s="100">
        <f>+E8+E9+E10</f>
        <v>91668275893</v>
      </c>
      <c r="F18" s="100">
        <f t="shared" ref="F18:P18" si="3">+F8+F9+F10</f>
        <v>74317341404</v>
      </c>
      <c r="G18" s="100">
        <f t="shared" si="3"/>
        <v>165985617297</v>
      </c>
      <c r="H18" s="96">
        <f t="shared" si="3"/>
        <v>1725187</v>
      </c>
      <c r="I18" s="100">
        <f>+I8+I9+I10</f>
        <v>122337223296</v>
      </c>
      <c r="J18" s="100">
        <f t="shared" si="3"/>
        <v>174740808189</v>
      </c>
      <c r="K18" s="100">
        <f t="shared" si="3"/>
        <v>297078031485</v>
      </c>
      <c r="L18" s="96">
        <f t="shared" si="3"/>
        <v>1835588</v>
      </c>
      <c r="M18" s="100">
        <f>+M8+M9+M10</f>
        <v>162522620169</v>
      </c>
      <c r="N18" s="100">
        <f t="shared" si="3"/>
        <v>278703851978</v>
      </c>
      <c r="O18" s="100">
        <f t="shared" si="3"/>
        <v>441226472147</v>
      </c>
      <c r="P18" s="96">
        <f t="shared" si="3"/>
        <v>1977152</v>
      </c>
    </row>
    <row r="19" spans="1:16" s="9" customFormat="1" ht="15" customHeight="1" thickBot="1">
      <c r="A19" s="86" t="s">
        <v>4</v>
      </c>
      <c r="B19" s="90" t="s">
        <v>13</v>
      </c>
      <c r="C19" s="166" t="s">
        <v>20</v>
      </c>
      <c r="D19" s="167"/>
      <c r="E19" s="101">
        <f>+E11+E12+E13+E14+E15+E16</f>
        <v>138923575771</v>
      </c>
      <c r="F19" s="101">
        <f t="shared" ref="F19:P19" si="4">+F11+F12+F13+F14+F15+F16</f>
        <v>251799743262</v>
      </c>
      <c r="G19" s="101">
        <f t="shared" si="4"/>
        <v>390723319033</v>
      </c>
      <c r="H19" s="97">
        <f t="shared" si="4"/>
        <v>1678665</v>
      </c>
      <c r="I19" s="101">
        <f>+I11+I12+I13+I14+I15+I16</f>
        <v>14743486375</v>
      </c>
      <c r="J19" s="101">
        <f t="shared" si="4"/>
        <v>385045869450</v>
      </c>
      <c r="K19" s="101">
        <f t="shared" si="4"/>
        <v>399789355825</v>
      </c>
      <c r="L19" s="97">
        <f t="shared" si="4"/>
        <v>1824842</v>
      </c>
      <c r="M19" s="101">
        <f>+M11+M12+M13+M14+M15+M16</f>
        <v>9912597718</v>
      </c>
      <c r="N19" s="101">
        <f t="shared" si="4"/>
        <v>400515505288</v>
      </c>
      <c r="O19" s="101">
        <f t="shared" si="4"/>
        <v>410428103006</v>
      </c>
      <c r="P19" s="97">
        <f t="shared" si="4"/>
        <v>1827078</v>
      </c>
    </row>
    <row r="20" spans="1:16" s="9" customFormat="1" ht="15" customHeight="1">
      <c r="A20" s="83" t="s">
        <v>84</v>
      </c>
      <c r="B20" s="88" t="s">
        <v>5</v>
      </c>
      <c r="C20" s="75"/>
      <c r="D20" s="75"/>
      <c r="E20" s="99">
        <f>SUM(E21:E45)</f>
        <v>230591851664</v>
      </c>
      <c r="F20" s="99">
        <f t="shared" ref="F20:P20" si="5">SUM(F21:F45)</f>
        <v>326117084666</v>
      </c>
      <c r="G20" s="99">
        <f t="shared" si="5"/>
        <v>556708936330</v>
      </c>
      <c r="H20" s="95">
        <f t="shared" si="5"/>
        <v>2601062</v>
      </c>
      <c r="I20" s="99">
        <f>SUM(I21:I45)</f>
        <v>137080709671</v>
      </c>
      <c r="J20" s="99">
        <f t="shared" si="5"/>
        <v>559786677639</v>
      </c>
      <c r="K20" s="99">
        <f t="shared" si="5"/>
        <v>696867387310</v>
      </c>
      <c r="L20" s="95">
        <f t="shared" si="5"/>
        <v>2801382</v>
      </c>
      <c r="M20" s="99">
        <f>SUM(M21:M45)</f>
        <v>172435217887</v>
      </c>
      <c r="N20" s="99">
        <f t="shared" si="5"/>
        <v>679219357266</v>
      </c>
      <c r="O20" s="99">
        <f t="shared" si="5"/>
        <v>851654575153</v>
      </c>
      <c r="P20" s="95">
        <f t="shared" si="5"/>
        <v>2913117</v>
      </c>
    </row>
    <row r="21" spans="1:16" ht="15" customHeight="1">
      <c r="A21" s="85" t="s">
        <v>84</v>
      </c>
      <c r="B21" s="89" t="s">
        <v>57</v>
      </c>
      <c r="C21" s="76"/>
      <c r="D21" s="76"/>
      <c r="E21" s="100">
        <v>37774415483</v>
      </c>
      <c r="F21" s="100">
        <v>40977840821</v>
      </c>
      <c r="G21" s="100">
        <v>78752256304</v>
      </c>
      <c r="H21" s="96">
        <v>315420</v>
      </c>
      <c r="I21" s="100">
        <v>28570792851</v>
      </c>
      <c r="J21" s="100">
        <v>83491915103</v>
      </c>
      <c r="K21" s="100">
        <v>112062707954</v>
      </c>
      <c r="L21" s="96">
        <v>345161</v>
      </c>
      <c r="M21" s="100">
        <v>38154133152</v>
      </c>
      <c r="N21" s="100">
        <v>108045070338</v>
      </c>
      <c r="O21" s="100">
        <v>146199203490</v>
      </c>
      <c r="P21" s="96">
        <v>353469</v>
      </c>
    </row>
    <row r="22" spans="1:16" ht="15" customHeight="1">
      <c r="A22" s="86" t="s">
        <v>84</v>
      </c>
      <c r="B22" s="90" t="s">
        <v>58</v>
      </c>
      <c r="C22" s="77"/>
      <c r="D22" s="77"/>
      <c r="E22" s="101">
        <v>114406949613</v>
      </c>
      <c r="F22" s="101">
        <v>170115345479</v>
      </c>
      <c r="G22" s="101">
        <v>284522295092</v>
      </c>
      <c r="H22" s="97">
        <v>1164257</v>
      </c>
      <c r="I22" s="101">
        <v>69141092320</v>
      </c>
      <c r="J22" s="101">
        <v>280853436055</v>
      </c>
      <c r="K22" s="101">
        <v>349994528375</v>
      </c>
      <c r="L22" s="97">
        <v>1247222</v>
      </c>
      <c r="M22" s="101">
        <v>94489178331</v>
      </c>
      <c r="N22" s="101">
        <v>329943485747</v>
      </c>
      <c r="O22" s="101">
        <v>424432664078</v>
      </c>
      <c r="P22" s="97">
        <v>1289252</v>
      </c>
    </row>
    <row r="23" spans="1:16" ht="15" customHeight="1">
      <c r="A23" s="85" t="s">
        <v>84</v>
      </c>
      <c r="B23" s="89" t="s">
        <v>59</v>
      </c>
      <c r="C23" s="76"/>
      <c r="D23" s="76"/>
      <c r="E23" s="100">
        <v>446376664</v>
      </c>
      <c r="F23" s="100">
        <v>639986325</v>
      </c>
      <c r="G23" s="100">
        <v>1086362989</v>
      </c>
      <c r="H23" s="96">
        <v>6647</v>
      </c>
      <c r="I23" s="100">
        <v>168358974</v>
      </c>
      <c r="J23" s="100">
        <v>1093184176</v>
      </c>
      <c r="K23" s="100">
        <v>1261543150</v>
      </c>
      <c r="L23" s="96">
        <v>7084</v>
      </c>
      <c r="M23" s="100">
        <v>275112319</v>
      </c>
      <c r="N23" s="100">
        <v>1144950147</v>
      </c>
      <c r="O23" s="100">
        <v>1420062466</v>
      </c>
      <c r="P23" s="96">
        <v>7527</v>
      </c>
    </row>
    <row r="24" spans="1:16" ht="15" customHeight="1">
      <c r="A24" s="86" t="s">
        <v>84</v>
      </c>
      <c r="B24" s="90" t="s">
        <v>60</v>
      </c>
      <c r="C24" s="77"/>
      <c r="D24" s="77"/>
      <c r="E24" s="101">
        <v>16432041870</v>
      </c>
      <c r="F24" s="101">
        <v>25170367722</v>
      </c>
      <c r="G24" s="101">
        <v>41602409592</v>
      </c>
      <c r="H24" s="97">
        <v>246821</v>
      </c>
      <c r="I24" s="101">
        <v>5437289208</v>
      </c>
      <c r="J24" s="101">
        <v>42539197083</v>
      </c>
      <c r="K24" s="101">
        <v>47976486291</v>
      </c>
      <c r="L24" s="97">
        <v>267395</v>
      </c>
      <c r="M24" s="101">
        <v>4872975922</v>
      </c>
      <c r="N24" s="101">
        <v>49860594910</v>
      </c>
      <c r="O24" s="101">
        <v>54733570832</v>
      </c>
      <c r="P24" s="97">
        <v>279027</v>
      </c>
    </row>
    <row r="25" spans="1:16" ht="15" customHeight="1">
      <c r="A25" s="85" t="s">
        <v>84</v>
      </c>
      <c r="B25" s="89" t="s">
        <v>61</v>
      </c>
      <c r="C25" s="76"/>
      <c r="D25" s="76"/>
      <c r="E25" s="100">
        <v>1874670858</v>
      </c>
      <c r="F25" s="100">
        <v>2530880999</v>
      </c>
      <c r="G25" s="100">
        <v>4405551857</v>
      </c>
      <c r="H25" s="96">
        <v>23393</v>
      </c>
      <c r="I25" s="100">
        <v>486902116</v>
      </c>
      <c r="J25" s="100">
        <v>4375627517</v>
      </c>
      <c r="K25" s="100">
        <v>4862529633</v>
      </c>
      <c r="L25" s="96">
        <v>25487</v>
      </c>
      <c r="M25" s="100">
        <v>1115317326</v>
      </c>
      <c r="N25" s="100">
        <v>4996088327</v>
      </c>
      <c r="O25" s="100">
        <v>6111405653</v>
      </c>
      <c r="P25" s="96">
        <v>26512</v>
      </c>
    </row>
    <row r="26" spans="1:16" ht="15" customHeight="1">
      <c r="A26" s="86" t="s">
        <v>84</v>
      </c>
      <c r="B26" s="90" t="s">
        <v>62</v>
      </c>
      <c r="C26" s="77"/>
      <c r="D26" s="77"/>
      <c r="E26" s="101">
        <v>3580815419</v>
      </c>
      <c r="F26" s="101">
        <v>5649845819</v>
      </c>
      <c r="G26" s="101">
        <v>9230661238</v>
      </c>
      <c r="H26" s="97">
        <v>65458</v>
      </c>
      <c r="I26" s="101">
        <v>1195828996</v>
      </c>
      <c r="J26" s="101">
        <v>8977930427</v>
      </c>
      <c r="K26" s="101">
        <v>10173759423</v>
      </c>
      <c r="L26" s="97">
        <v>69829</v>
      </c>
      <c r="M26" s="101">
        <v>1681402660</v>
      </c>
      <c r="N26" s="101">
        <v>10384999151</v>
      </c>
      <c r="O26" s="101">
        <v>12066401811</v>
      </c>
      <c r="P26" s="97">
        <v>74896</v>
      </c>
    </row>
    <row r="27" spans="1:16" ht="15" customHeight="1">
      <c r="A27" s="85" t="s">
        <v>84</v>
      </c>
      <c r="B27" s="89" t="s">
        <v>63</v>
      </c>
      <c r="C27" s="76"/>
      <c r="D27" s="76"/>
      <c r="E27" s="100">
        <v>553385669</v>
      </c>
      <c r="F27" s="100">
        <v>802058316</v>
      </c>
      <c r="G27" s="100">
        <v>1355443985</v>
      </c>
      <c r="H27" s="96">
        <v>9988</v>
      </c>
      <c r="I27" s="100">
        <v>256482524</v>
      </c>
      <c r="J27" s="100">
        <v>1580699003</v>
      </c>
      <c r="K27" s="100">
        <v>1837181527</v>
      </c>
      <c r="L27" s="96">
        <v>10797</v>
      </c>
      <c r="M27" s="100">
        <v>409856175</v>
      </c>
      <c r="N27" s="100">
        <v>1999385579</v>
      </c>
      <c r="O27" s="100">
        <v>2409241754</v>
      </c>
      <c r="P27" s="96">
        <v>11471</v>
      </c>
    </row>
    <row r="28" spans="1:16" ht="15" customHeight="1">
      <c r="A28" s="86" t="s">
        <v>84</v>
      </c>
      <c r="B28" s="90" t="s">
        <v>64</v>
      </c>
      <c r="C28" s="77"/>
      <c r="D28" s="77"/>
      <c r="E28" s="101">
        <v>8478437251</v>
      </c>
      <c r="F28" s="101">
        <v>11529938518</v>
      </c>
      <c r="G28" s="101">
        <v>20008375769</v>
      </c>
      <c r="H28" s="97">
        <v>99129</v>
      </c>
      <c r="I28" s="101">
        <v>6357831356</v>
      </c>
      <c r="J28" s="101">
        <v>20480711804</v>
      </c>
      <c r="K28" s="101">
        <v>26838543160</v>
      </c>
      <c r="L28" s="97">
        <v>106216</v>
      </c>
      <c r="M28" s="101">
        <v>6872103497</v>
      </c>
      <c r="N28" s="101">
        <v>31068087306</v>
      </c>
      <c r="O28" s="101">
        <v>37940190803</v>
      </c>
      <c r="P28" s="97">
        <v>110768</v>
      </c>
    </row>
    <row r="29" spans="1:16" ht="15" customHeight="1">
      <c r="A29" s="85" t="s">
        <v>84</v>
      </c>
      <c r="B29" s="89" t="s">
        <v>65</v>
      </c>
      <c r="C29" s="76"/>
      <c r="D29" s="76"/>
      <c r="E29" s="100">
        <v>272554091</v>
      </c>
      <c r="F29" s="100">
        <v>375496759</v>
      </c>
      <c r="G29" s="100">
        <v>648050850</v>
      </c>
      <c r="H29" s="96">
        <v>4204</v>
      </c>
      <c r="I29" s="100">
        <v>58472725</v>
      </c>
      <c r="J29" s="100">
        <v>828303242</v>
      </c>
      <c r="K29" s="100">
        <v>886775967</v>
      </c>
      <c r="L29" s="96">
        <v>4535</v>
      </c>
      <c r="M29" s="100">
        <v>119596558</v>
      </c>
      <c r="N29" s="100">
        <v>1046294203</v>
      </c>
      <c r="O29" s="100">
        <v>1165890761</v>
      </c>
      <c r="P29" s="96">
        <v>4722</v>
      </c>
    </row>
    <row r="30" spans="1:16" ht="15" customHeight="1">
      <c r="A30" s="86" t="s">
        <v>84</v>
      </c>
      <c r="B30" s="90" t="s">
        <v>66</v>
      </c>
      <c r="C30" s="77"/>
      <c r="D30" s="77"/>
      <c r="E30" s="101">
        <v>1456701759</v>
      </c>
      <c r="F30" s="101">
        <v>1997991096</v>
      </c>
      <c r="G30" s="101">
        <v>3454692855</v>
      </c>
      <c r="H30" s="97">
        <v>18035</v>
      </c>
      <c r="I30" s="101">
        <v>450888324</v>
      </c>
      <c r="J30" s="101">
        <v>3792369197</v>
      </c>
      <c r="K30" s="101">
        <v>4243257521</v>
      </c>
      <c r="L30" s="97">
        <v>20068</v>
      </c>
      <c r="M30" s="101">
        <v>403407082</v>
      </c>
      <c r="N30" s="101">
        <v>4364935140</v>
      </c>
      <c r="O30" s="101">
        <v>4768342222</v>
      </c>
      <c r="P30" s="97">
        <v>20438</v>
      </c>
    </row>
    <row r="31" spans="1:16" ht="15" customHeight="1">
      <c r="A31" s="85" t="s">
        <v>84</v>
      </c>
      <c r="B31" s="89" t="s">
        <v>67</v>
      </c>
      <c r="C31" s="76"/>
      <c r="D31" s="76"/>
      <c r="E31" s="100">
        <v>975290159</v>
      </c>
      <c r="F31" s="100">
        <v>1283335126</v>
      </c>
      <c r="G31" s="100">
        <v>2258625285</v>
      </c>
      <c r="H31" s="96">
        <v>16271</v>
      </c>
      <c r="I31" s="100">
        <v>1759520483</v>
      </c>
      <c r="J31" s="100">
        <v>2666790163</v>
      </c>
      <c r="K31" s="100">
        <v>4426310646</v>
      </c>
      <c r="L31" s="96">
        <v>17448</v>
      </c>
      <c r="M31" s="100">
        <v>1461907777</v>
      </c>
      <c r="N31" s="100">
        <v>4728028524</v>
      </c>
      <c r="O31" s="100">
        <v>6189936301</v>
      </c>
      <c r="P31" s="96">
        <v>19455</v>
      </c>
    </row>
    <row r="32" spans="1:16" ht="15" customHeight="1">
      <c r="A32" s="86" t="s">
        <v>84</v>
      </c>
      <c r="B32" s="90" t="s">
        <v>68</v>
      </c>
      <c r="C32" s="77"/>
      <c r="D32" s="77"/>
      <c r="E32" s="101">
        <v>1465107885</v>
      </c>
      <c r="F32" s="101">
        <v>2525700188</v>
      </c>
      <c r="G32" s="101">
        <v>3990808073</v>
      </c>
      <c r="H32" s="97">
        <v>18873</v>
      </c>
      <c r="I32" s="101">
        <v>660048547</v>
      </c>
      <c r="J32" s="101">
        <v>3912391382</v>
      </c>
      <c r="K32" s="101">
        <v>4572439929</v>
      </c>
      <c r="L32" s="97">
        <v>20017</v>
      </c>
      <c r="M32" s="101">
        <v>533043171</v>
      </c>
      <c r="N32" s="101">
        <v>4330651706</v>
      </c>
      <c r="O32" s="101">
        <v>4863694877</v>
      </c>
      <c r="P32" s="97">
        <v>21090</v>
      </c>
    </row>
    <row r="33" spans="1:24" ht="15" customHeight="1">
      <c r="A33" s="85" t="s">
        <v>84</v>
      </c>
      <c r="B33" s="89" t="s">
        <v>69</v>
      </c>
      <c r="C33" s="76"/>
      <c r="D33" s="76"/>
      <c r="E33" s="100">
        <v>17586862215</v>
      </c>
      <c r="F33" s="100">
        <v>23567316225</v>
      </c>
      <c r="G33" s="100">
        <v>41154178440</v>
      </c>
      <c r="H33" s="96">
        <v>237132</v>
      </c>
      <c r="I33" s="100">
        <v>7363862477</v>
      </c>
      <c r="J33" s="100">
        <v>40404976047</v>
      </c>
      <c r="K33" s="100">
        <v>47768838524</v>
      </c>
      <c r="L33" s="96">
        <v>256544</v>
      </c>
      <c r="M33" s="100">
        <v>7147222098</v>
      </c>
      <c r="N33" s="100">
        <v>47923334789</v>
      </c>
      <c r="O33" s="100">
        <v>55070556887</v>
      </c>
      <c r="P33" s="96">
        <v>269070</v>
      </c>
    </row>
    <row r="34" spans="1:24" ht="15" customHeight="1">
      <c r="A34" s="86" t="s">
        <v>84</v>
      </c>
      <c r="B34" s="90" t="s">
        <v>70</v>
      </c>
      <c r="C34" s="77"/>
      <c r="D34" s="77"/>
      <c r="E34" s="101">
        <v>1195756515</v>
      </c>
      <c r="F34" s="101">
        <v>1493572494</v>
      </c>
      <c r="G34" s="101">
        <v>2689329009</v>
      </c>
      <c r="H34" s="97">
        <v>12418</v>
      </c>
      <c r="I34" s="101">
        <v>1006363375</v>
      </c>
      <c r="J34" s="101">
        <v>2732864741</v>
      </c>
      <c r="K34" s="101">
        <v>3739228116</v>
      </c>
      <c r="L34" s="97">
        <v>12982</v>
      </c>
      <c r="M34" s="101">
        <v>935616728</v>
      </c>
      <c r="N34" s="101">
        <v>4014800071</v>
      </c>
      <c r="O34" s="101">
        <v>4950416799</v>
      </c>
      <c r="P34" s="97">
        <v>13551</v>
      </c>
    </row>
    <row r="35" spans="1:24" ht="15" customHeight="1">
      <c r="A35" s="85" t="s">
        <v>84</v>
      </c>
      <c r="B35" s="89" t="s">
        <v>71</v>
      </c>
      <c r="C35" s="76"/>
      <c r="D35" s="76"/>
      <c r="E35" s="100">
        <v>2529279957</v>
      </c>
      <c r="F35" s="100">
        <v>3831930944</v>
      </c>
      <c r="G35" s="100">
        <v>6361210901</v>
      </c>
      <c r="H35" s="96">
        <v>53718</v>
      </c>
      <c r="I35" s="100">
        <v>2073787902</v>
      </c>
      <c r="J35" s="100">
        <v>6518704410</v>
      </c>
      <c r="K35" s="100">
        <v>8592492312</v>
      </c>
      <c r="L35" s="96">
        <v>58390</v>
      </c>
      <c r="M35" s="100">
        <v>1935898011</v>
      </c>
      <c r="N35" s="100">
        <v>8236129161</v>
      </c>
      <c r="O35" s="100">
        <v>10172027172</v>
      </c>
      <c r="P35" s="96">
        <v>65083</v>
      </c>
    </row>
    <row r="36" spans="1:24" ht="15" customHeight="1">
      <c r="A36" s="86" t="s">
        <v>84</v>
      </c>
      <c r="B36" s="90" t="s">
        <v>72</v>
      </c>
      <c r="C36" s="77"/>
      <c r="D36" s="77"/>
      <c r="E36" s="101">
        <v>2685748500</v>
      </c>
      <c r="F36" s="101">
        <v>3351945100</v>
      </c>
      <c r="G36" s="101">
        <v>6037693600</v>
      </c>
      <c r="H36" s="97">
        <v>28533</v>
      </c>
      <c r="I36" s="101">
        <v>1547168125</v>
      </c>
      <c r="J36" s="101">
        <v>5760820227</v>
      </c>
      <c r="K36" s="101">
        <v>7307988352</v>
      </c>
      <c r="L36" s="97">
        <v>30047</v>
      </c>
      <c r="M36" s="101">
        <v>2326815078</v>
      </c>
      <c r="N36" s="101">
        <v>7152718137</v>
      </c>
      <c r="O36" s="101">
        <v>9479533215</v>
      </c>
      <c r="P36" s="97">
        <v>30988</v>
      </c>
    </row>
    <row r="37" spans="1:24" ht="15" customHeight="1">
      <c r="A37" s="85" t="s">
        <v>84</v>
      </c>
      <c r="B37" s="89" t="s">
        <v>73</v>
      </c>
      <c r="C37" s="76"/>
      <c r="D37" s="76"/>
      <c r="E37" s="100">
        <v>2707231575</v>
      </c>
      <c r="F37" s="100">
        <v>5274949153</v>
      </c>
      <c r="G37" s="100">
        <v>7982180728</v>
      </c>
      <c r="H37" s="96">
        <v>57970</v>
      </c>
      <c r="I37" s="100">
        <v>682212089</v>
      </c>
      <c r="J37" s="100">
        <v>7685921903</v>
      </c>
      <c r="K37" s="100">
        <v>8368133992</v>
      </c>
      <c r="L37" s="96">
        <v>62797</v>
      </c>
      <c r="M37" s="100">
        <v>764211803</v>
      </c>
      <c r="N37" s="100">
        <v>8561235573</v>
      </c>
      <c r="O37" s="100">
        <v>9325447376</v>
      </c>
      <c r="P37" s="96">
        <v>66377</v>
      </c>
    </row>
    <row r="38" spans="1:24" ht="15" customHeight="1">
      <c r="A38" s="86" t="s">
        <v>84</v>
      </c>
      <c r="B38" s="90" t="s">
        <v>74</v>
      </c>
      <c r="C38" s="77"/>
      <c r="D38" s="77"/>
      <c r="E38" s="101">
        <v>640498163</v>
      </c>
      <c r="F38" s="101">
        <v>1062889741</v>
      </c>
      <c r="G38" s="101">
        <v>1703387904</v>
      </c>
      <c r="H38" s="97">
        <v>8699</v>
      </c>
      <c r="I38" s="101">
        <v>403468183</v>
      </c>
      <c r="J38" s="101">
        <v>1747170095</v>
      </c>
      <c r="K38" s="101">
        <v>2150638278</v>
      </c>
      <c r="L38" s="97">
        <v>9170</v>
      </c>
      <c r="M38" s="101">
        <v>444049720</v>
      </c>
      <c r="N38" s="101">
        <v>2239069463</v>
      </c>
      <c r="O38" s="101">
        <v>2683119183</v>
      </c>
      <c r="P38" s="97">
        <v>9581</v>
      </c>
    </row>
    <row r="39" spans="1:24" ht="15" customHeight="1">
      <c r="A39" s="85" t="s">
        <v>84</v>
      </c>
      <c r="B39" s="89" t="s">
        <v>75</v>
      </c>
      <c r="C39" s="76"/>
      <c r="D39" s="76"/>
      <c r="E39" s="100">
        <v>2043537312</v>
      </c>
      <c r="F39" s="100">
        <v>2322395417</v>
      </c>
      <c r="G39" s="100">
        <v>4365932729</v>
      </c>
      <c r="H39" s="96">
        <v>25207</v>
      </c>
      <c r="I39" s="100">
        <v>3911998331</v>
      </c>
      <c r="J39" s="100">
        <v>4130340451</v>
      </c>
      <c r="K39" s="100">
        <v>8042338782</v>
      </c>
      <c r="L39" s="96">
        <v>27731</v>
      </c>
      <c r="M39" s="100">
        <v>2576366268</v>
      </c>
      <c r="N39" s="100">
        <v>5854638721</v>
      </c>
      <c r="O39" s="100">
        <v>8431004989</v>
      </c>
      <c r="P39" s="96">
        <v>30453</v>
      </c>
    </row>
    <row r="40" spans="1:24" ht="15" customHeight="1">
      <c r="A40" s="86" t="s">
        <v>84</v>
      </c>
      <c r="B40" s="90" t="s">
        <v>76</v>
      </c>
      <c r="C40" s="77"/>
      <c r="D40" s="77"/>
      <c r="E40" s="101">
        <v>4621756992</v>
      </c>
      <c r="F40" s="101">
        <v>7580191310</v>
      </c>
      <c r="G40" s="101">
        <v>12201948302</v>
      </c>
      <c r="H40" s="97">
        <v>67203</v>
      </c>
      <c r="I40" s="101">
        <v>2038952437</v>
      </c>
      <c r="J40" s="101">
        <v>12480622658</v>
      </c>
      <c r="K40" s="101">
        <v>14519575095</v>
      </c>
      <c r="L40" s="97">
        <v>73103</v>
      </c>
      <c r="M40" s="101">
        <v>2100759054</v>
      </c>
      <c r="N40" s="101">
        <v>15558747236</v>
      </c>
      <c r="O40" s="101">
        <v>17659506290</v>
      </c>
      <c r="P40" s="97">
        <v>75190</v>
      </c>
    </row>
    <row r="41" spans="1:24" ht="15" customHeight="1">
      <c r="A41" s="85" t="s">
        <v>84</v>
      </c>
      <c r="B41" s="89" t="s">
        <v>77</v>
      </c>
      <c r="C41" s="76"/>
      <c r="D41" s="76"/>
      <c r="E41" s="100">
        <v>1792695502</v>
      </c>
      <c r="F41" s="100">
        <v>2469486206</v>
      </c>
      <c r="G41" s="100">
        <v>4262181708</v>
      </c>
      <c r="H41" s="96">
        <v>19779</v>
      </c>
      <c r="I41" s="100">
        <v>591934253</v>
      </c>
      <c r="J41" s="100">
        <v>3854263139</v>
      </c>
      <c r="K41" s="100">
        <v>4446197392</v>
      </c>
      <c r="L41" s="96">
        <v>20568</v>
      </c>
      <c r="M41" s="100">
        <v>543886528</v>
      </c>
      <c r="N41" s="100">
        <v>4812805268</v>
      </c>
      <c r="O41" s="100">
        <v>5356691796</v>
      </c>
      <c r="P41" s="96">
        <v>21140</v>
      </c>
    </row>
    <row r="42" spans="1:24" ht="15" customHeight="1">
      <c r="A42" s="86" t="s">
        <v>84</v>
      </c>
      <c r="B42" s="90" t="s">
        <v>78</v>
      </c>
      <c r="C42" s="77"/>
      <c r="D42" s="77"/>
      <c r="E42" s="101">
        <v>3513165058</v>
      </c>
      <c r="F42" s="101">
        <v>5489885918</v>
      </c>
      <c r="G42" s="101">
        <v>9003050976</v>
      </c>
      <c r="H42" s="97">
        <v>56742</v>
      </c>
      <c r="I42" s="101">
        <v>2106309377</v>
      </c>
      <c r="J42" s="101">
        <v>8764801086</v>
      </c>
      <c r="K42" s="101">
        <v>10871110463</v>
      </c>
      <c r="L42" s="97">
        <v>60513</v>
      </c>
      <c r="M42" s="101">
        <v>2397056811</v>
      </c>
      <c r="N42" s="101">
        <v>10941642353</v>
      </c>
      <c r="O42" s="101">
        <v>13338699164</v>
      </c>
      <c r="P42" s="97">
        <v>63871</v>
      </c>
    </row>
    <row r="43" spans="1:24" ht="15" customHeight="1">
      <c r="A43" s="85" t="s">
        <v>84</v>
      </c>
      <c r="B43" s="89" t="s">
        <v>79</v>
      </c>
      <c r="C43" s="76"/>
      <c r="D43" s="76"/>
      <c r="E43" s="100">
        <v>1264091198</v>
      </c>
      <c r="F43" s="100">
        <v>2013914074</v>
      </c>
      <c r="G43" s="100">
        <v>3278005272</v>
      </c>
      <c r="H43" s="96">
        <v>17024</v>
      </c>
      <c r="I43" s="100">
        <v>248515843</v>
      </c>
      <c r="J43" s="100">
        <v>3405423196</v>
      </c>
      <c r="K43" s="100">
        <v>3653939039</v>
      </c>
      <c r="L43" s="96">
        <v>17983</v>
      </c>
      <c r="M43" s="100">
        <v>274225194</v>
      </c>
      <c r="N43" s="100">
        <v>3627312430</v>
      </c>
      <c r="O43" s="100">
        <v>3901537624</v>
      </c>
      <c r="P43" s="96">
        <v>18292</v>
      </c>
    </row>
    <row r="44" spans="1:24" ht="15" customHeight="1">
      <c r="A44" s="86" t="s">
        <v>84</v>
      </c>
      <c r="B44" s="90" t="s">
        <v>80</v>
      </c>
      <c r="C44" s="77"/>
      <c r="D44" s="77"/>
      <c r="E44" s="101">
        <v>1290771973</v>
      </c>
      <c r="F44" s="101">
        <v>2720853759</v>
      </c>
      <c r="G44" s="101">
        <v>4011625732</v>
      </c>
      <c r="H44" s="97">
        <v>19853</v>
      </c>
      <c r="I44" s="101">
        <v>265180447</v>
      </c>
      <c r="J44" s="101">
        <v>5060104775</v>
      </c>
      <c r="K44" s="101">
        <v>5325285222</v>
      </c>
      <c r="L44" s="97">
        <v>21470</v>
      </c>
      <c r="M44" s="101">
        <v>256686436</v>
      </c>
      <c r="N44" s="101">
        <v>5392894044</v>
      </c>
      <c r="O44" s="101">
        <v>5649580480</v>
      </c>
      <c r="P44" s="97">
        <v>22045</v>
      </c>
    </row>
    <row r="45" spans="1:24" ht="15" customHeight="1" thickBot="1">
      <c r="A45" s="85" t="s">
        <v>84</v>
      </c>
      <c r="B45" s="89" t="s">
        <v>81</v>
      </c>
      <c r="C45" s="76"/>
      <c r="D45" s="76"/>
      <c r="E45" s="100">
        <v>1003709983</v>
      </c>
      <c r="F45" s="100">
        <v>1338967157</v>
      </c>
      <c r="G45" s="100">
        <v>2342677140</v>
      </c>
      <c r="H45" s="96">
        <v>8288</v>
      </c>
      <c r="I45" s="100">
        <v>297448408</v>
      </c>
      <c r="J45" s="100">
        <v>2648109759</v>
      </c>
      <c r="K45" s="100">
        <v>2945558167</v>
      </c>
      <c r="L45" s="96">
        <v>8825</v>
      </c>
      <c r="M45" s="100">
        <v>344390188</v>
      </c>
      <c r="N45" s="100">
        <v>2991458942</v>
      </c>
      <c r="O45" s="100">
        <v>3335849130</v>
      </c>
      <c r="P45" s="96">
        <v>8849</v>
      </c>
    </row>
    <row r="46" spans="1:24" ht="15" customHeight="1">
      <c r="A46" s="83" t="s">
        <v>15</v>
      </c>
      <c r="B46" s="88" t="s">
        <v>5</v>
      </c>
      <c r="C46" s="75"/>
      <c r="D46" s="75"/>
      <c r="E46" s="99">
        <f>SUM(E47:E59)</f>
        <v>230591851664</v>
      </c>
      <c r="F46" s="99">
        <f t="shared" ref="F46:X46" si="6">SUM(F47:F59)</f>
        <v>326117084666</v>
      </c>
      <c r="G46" s="99">
        <f t="shared" si="6"/>
        <v>556708936330</v>
      </c>
      <c r="H46" s="95">
        <f t="shared" si="6"/>
        <v>2601062</v>
      </c>
      <c r="I46" s="99">
        <f t="shared" si="6"/>
        <v>137080709671</v>
      </c>
      <c r="J46" s="99">
        <f t="shared" si="6"/>
        <v>559786677639</v>
      </c>
      <c r="K46" s="99">
        <f t="shared" si="6"/>
        <v>696867387310</v>
      </c>
      <c r="L46" s="95">
        <f t="shared" si="6"/>
        <v>2801382</v>
      </c>
      <c r="M46" s="99">
        <f t="shared" si="6"/>
        <v>172435217887</v>
      </c>
      <c r="N46" s="99">
        <f t="shared" si="6"/>
        <v>679219357266</v>
      </c>
      <c r="O46" s="99">
        <f t="shared" si="6"/>
        <v>851654575153</v>
      </c>
      <c r="P46" s="95">
        <f t="shared" si="6"/>
        <v>2913117</v>
      </c>
      <c r="Q46" s="99">
        <f t="shared" si="6"/>
        <v>0</v>
      </c>
      <c r="R46" s="99">
        <f t="shared" si="6"/>
        <v>0</v>
      </c>
      <c r="S46" s="99">
        <f t="shared" si="6"/>
        <v>0</v>
      </c>
      <c r="T46" s="95">
        <f t="shared" si="6"/>
        <v>0</v>
      </c>
      <c r="U46" s="99">
        <f t="shared" si="6"/>
        <v>0</v>
      </c>
      <c r="V46" s="99">
        <f t="shared" si="6"/>
        <v>0</v>
      </c>
      <c r="W46" s="99">
        <f t="shared" si="6"/>
        <v>0</v>
      </c>
      <c r="X46" s="95">
        <f t="shared" si="6"/>
        <v>0</v>
      </c>
    </row>
    <row r="47" spans="1:24" ht="15" customHeight="1">
      <c r="A47" s="85" t="s">
        <v>15</v>
      </c>
      <c r="B47" s="89" t="s">
        <v>21</v>
      </c>
      <c r="C47" s="76">
        <v>0</v>
      </c>
      <c r="D47" s="76"/>
      <c r="E47" s="100">
        <v>144026615019</v>
      </c>
      <c r="F47" s="100">
        <v>204414149103</v>
      </c>
      <c r="G47" s="100">
        <v>348440764122</v>
      </c>
      <c r="H47" s="96">
        <v>1688263</v>
      </c>
      <c r="I47" s="100">
        <v>83969315341</v>
      </c>
      <c r="J47" s="100">
        <v>346142150230</v>
      </c>
      <c r="K47" s="100">
        <v>430111465571</v>
      </c>
      <c r="L47" s="96">
        <v>1811201</v>
      </c>
      <c r="M47" s="100">
        <v>107329972370</v>
      </c>
      <c r="N47" s="100">
        <v>418984379735</v>
      </c>
      <c r="O47" s="100">
        <v>526314352105</v>
      </c>
      <c r="P47" s="96">
        <v>1878198</v>
      </c>
    </row>
    <row r="48" spans="1:24" ht="15" customHeight="1">
      <c r="A48" s="86" t="s">
        <v>15</v>
      </c>
      <c r="B48" s="90" t="s">
        <v>22</v>
      </c>
      <c r="C48" s="77">
        <v>1</v>
      </c>
      <c r="D48" s="77"/>
      <c r="E48" s="101">
        <v>41813814603</v>
      </c>
      <c r="F48" s="101">
        <v>60037561816</v>
      </c>
      <c r="G48" s="101">
        <v>101851376419</v>
      </c>
      <c r="H48" s="97">
        <v>446726</v>
      </c>
      <c r="I48" s="101">
        <v>25307892967</v>
      </c>
      <c r="J48" s="101">
        <v>105479478046</v>
      </c>
      <c r="K48" s="101">
        <v>130787371013</v>
      </c>
      <c r="L48" s="97">
        <v>487651</v>
      </c>
      <c r="M48" s="101">
        <v>30581765081</v>
      </c>
      <c r="N48" s="101">
        <v>126364981620</v>
      </c>
      <c r="O48" s="101">
        <v>156946746701</v>
      </c>
      <c r="P48" s="97">
        <v>504538</v>
      </c>
    </row>
    <row r="49" spans="1:101" ht="15" customHeight="1">
      <c r="A49" s="85" t="s">
        <v>15</v>
      </c>
      <c r="B49" s="89" t="s">
        <v>23</v>
      </c>
      <c r="C49" s="76">
        <v>3</v>
      </c>
      <c r="D49" s="76"/>
      <c r="E49" s="100">
        <v>21139587484</v>
      </c>
      <c r="F49" s="100">
        <v>33814003269</v>
      </c>
      <c r="G49" s="100">
        <v>54953590753</v>
      </c>
      <c r="H49" s="96">
        <v>261047</v>
      </c>
      <c r="I49" s="100">
        <v>12168805706</v>
      </c>
      <c r="J49" s="100">
        <v>60314343529</v>
      </c>
      <c r="K49" s="100">
        <v>72483149235</v>
      </c>
      <c r="L49" s="96">
        <v>287130</v>
      </c>
      <c r="M49" s="100">
        <v>13731307531</v>
      </c>
      <c r="N49" s="100">
        <v>73765958097</v>
      </c>
      <c r="O49" s="100">
        <v>87497265628</v>
      </c>
      <c r="P49" s="96">
        <v>300661</v>
      </c>
    </row>
    <row r="50" spans="1:101" ht="15" customHeight="1">
      <c r="A50" s="86" t="s">
        <v>15</v>
      </c>
      <c r="B50" s="90" t="s">
        <v>24</v>
      </c>
      <c r="C50" s="77">
        <v>6</v>
      </c>
      <c r="D50" s="77"/>
      <c r="E50" s="101">
        <v>14367595207</v>
      </c>
      <c r="F50" s="101">
        <v>16536227362</v>
      </c>
      <c r="G50" s="101">
        <v>30903822569</v>
      </c>
      <c r="H50" s="97">
        <v>101481</v>
      </c>
      <c r="I50" s="101">
        <v>9568502764</v>
      </c>
      <c r="J50" s="101">
        <v>30834727174</v>
      </c>
      <c r="K50" s="101">
        <v>40403229938</v>
      </c>
      <c r="L50" s="97">
        <v>107767</v>
      </c>
      <c r="M50" s="101">
        <v>13894348657</v>
      </c>
      <c r="N50" s="101">
        <v>40420441554</v>
      </c>
      <c r="O50" s="101">
        <v>54314790211</v>
      </c>
      <c r="P50" s="97">
        <v>113750</v>
      </c>
    </row>
    <row r="51" spans="1:101" ht="15" customHeight="1">
      <c r="A51" s="85" t="s">
        <v>15</v>
      </c>
      <c r="B51" s="89" t="s">
        <v>25</v>
      </c>
      <c r="C51" s="76">
        <v>7</v>
      </c>
      <c r="D51" s="76"/>
      <c r="E51" s="100">
        <v>4024407342</v>
      </c>
      <c r="F51" s="100">
        <v>6125771504</v>
      </c>
      <c r="G51" s="100">
        <v>10150178846</v>
      </c>
      <c r="H51" s="96">
        <v>57185</v>
      </c>
      <c r="I51" s="100">
        <v>2536177513</v>
      </c>
      <c r="J51" s="100">
        <v>8423099447</v>
      </c>
      <c r="K51" s="100">
        <v>10959276960</v>
      </c>
      <c r="L51" s="96">
        <v>58071</v>
      </c>
      <c r="M51" s="100">
        <v>3126388014</v>
      </c>
      <c r="N51" s="100">
        <v>9015063132</v>
      </c>
      <c r="O51" s="100">
        <v>12141451146</v>
      </c>
      <c r="P51" s="96">
        <v>58138</v>
      </c>
    </row>
    <row r="52" spans="1:101" ht="15" customHeight="1">
      <c r="A52" s="86" t="s">
        <v>15</v>
      </c>
      <c r="B52" s="90" t="s">
        <v>28</v>
      </c>
      <c r="C52" s="77">
        <v>8</v>
      </c>
      <c r="D52" s="77"/>
      <c r="E52" s="101">
        <v>181289325</v>
      </c>
      <c r="F52" s="101">
        <v>131408783</v>
      </c>
      <c r="G52" s="101">
        <v>312698108</v>
      </c>
      <c r="H52" s="97">
        <v>2490</v>
      </c>
      <c r="I52" s="101">
        <v>74917904</v>
      </c>
      <c r="J52" s="101">
        <v>332005545</v>
      </c>
      <c r="K52" s="101">
        <v>406923449</v>
      </c>
      <c r="L52" s="97">
        <v>2685</v>
      </c>
      <c r="M52" s="101">
        <v>43967079</v>
      </c>
      <c r="N52" s="101">
        <v>354600996</v>
      </c>
      <c r="O52" s="101">
        <v>398568075</v>
      </c>
      <c r="P52" s="97">
        <v>2933</v>
      </c>
    </row>
    <row r="53" spans="1:101" ht="15" customHeight="1">
      <c r="A53" s="85" t="s">
        <v>15</v>
      </c>
      <c r="B53" s="89" t="s">
        <v>26</v>
      </c>
      <c r="C53" s="76">
        <v>9</v>
      </c>
      <c r="D53" s="76"/>
      <c r="E53" s="100">
        <v>1566726927</v>
      </c>
      <c r="F53" s="100">
        <v>1638696253</v>
      </c>
      <c r="G53" s="100">
        <v>3205423180</v>
      </c>
      <c r="H53" s="96">
        <v>3218</v>
      </c>
      <c r="I53" s="100">
        <v>473956976</v>
      </c>
      <c r="J53" s="100">
        <v>2482436173</v>
      </c>
      <c r="K53" s="100">
        <v>2956393149</v>
      </c>
      <c r="L53" s="96">
        <v>3390</v>
      </c>
      <c r="M53" s="100">
        <v>606433161</v>
      </c>
      <c r="N53" s="100">
        <v>2767807178</v>
      </c>
      <c r="O53" s="100">
        <v>3374240339</v>
      </c>
      <c r="P53" s="96">
        <v>3457</v>
      </c>
    </row>
    <row r="54" spans="1:101" ht="15" customHeight="1">
      <c r="A54" s="86" t="s">
        <v>15</v>
      </c>
      <c r="B54" s="90" t="s">
        <v>27</v>
      </c>
      <c r="C54" s="77">
        <v>10</v>
      </c>
      <c r="D54" s="77"/>
      <c r="E54" s="101">
        <v>1981226745</v>
      </c>
      <c r="F54" s="101">
        <v>1946429719</v>
      </c>
      <c r="G54" s="101">
        <v>3927656464</v>
      </c>
      <c r="H54" s="97">
        <v>18254</v>
      </c>
      <c r="I54" s="101">
        <v>906002313</v>
      </c>
      <c r="J54" s="101">
        <v>3152294763</v>
      </c>
      <c r="K54" s="101">
        <v>4058297076</v>
      </c>
      <c r="L54" s="97">
        <v>19316</v>
      </c>
      <c r="M54" s="101">
        <v>1278810382</v>
      </c>
      <c r="N54" s="101">
        <v>3498347479</v>
      </c>
      <c r="O54" s="101">
        <v>4777157861</v>
      </c>
      <c r="P54" s="97">
        <v>20518</v>
      </c>
    </row>
    <row r="55" spans="1:101" ht="15" customHeight="1">
      <c r="A55" s="85" t="s">
        <v>15</v>
      </c>
      <c r="B55" s="89" t="s">
        <v>29</v>
      </c>
      <c r="C55" s="76">
        <v>20</v>
      </c>
      <c r="D55" s="76"/>
      <c r="E55" s="100">
        <v>140103739</v>
      </c>
      <c r="F55" s="100">
        <v>160306062</v>
      </c>
      <c r="G55" s="100">
        <v>300409801</v>
      </c>
      <c r="H55" s="96">
        <v>7107</v>
      </c>
      <c r="I55" s="100">
        <v>533981876</v>
      </c>
      <c r="J55" s="100">
        <v>274067105</v>
      </c>
      <c r="K55" s="100">
        <v>808048981</v>
      </c>
      <c r="L55" s="96">
        <v>7822</v>
      </c>
      <c r="M55" s="100">
        <v>382430922</v>
      </c>
      <c r="N55" s="100">
        <v>419111409</v>
      </c>
      <c r="O55" s="100">
        <v>801542331</v>
      </c>
      <c r="P55" s="96">
        <v>11617</v>
      </c>
    </row>
    <row r="56" spans="1:101" ht="15" customHeight="1">
      <c r="A56" s="86" t="s">
        <v>15</v>
      </c>
      <c r="B56" s="90" t="s">
        <v>30</v>
      </c>
      <c r="C56" s="77">
        <v>21</v>
      </c>
      <c r="D56" s="77"/>
      <c r="E56" s="101">
        <v>298880789</v>
      </c>
      <c r="F56" s="101">
        <v>218286712</v>
      </c>
      <c r="G56" s="101">
        <v>517167501</v>
      </c>
      <c r="H56" s="97">
        <v>3745</v>
      </c>
      <c r="I56" s="101">
        <v>426488394</v>
      </c>
      <c r="J56" s="101">
        <v>364356280</v>
      </c>
      <c r="K56" s="101">
        <v>790844674</v>
      </c>
      <c r="L56" s="97">
        <v>3992</v>
      </c>
      <c r="M56" s="101">
        <v>588090393</v>
      </c>
      <c r="N56" s="101">
        <v>745261945</v>
      </c>
      <c r="O56" s="101">
        <v>1333352338</v>
      </c>
      <c r="P56" s="97">
        <v>5104</v>
      </c>
    </row>
    <row r="57" spans="1:101" ht="15" customHeight="1">
      <c r="A57" s="85" t="s">
        <v>15</v>
      </c>
      <c r="B57" s="89" t="s">
        <v>16</v>
      </c>
      <c r="C57" s="76" t="s">
        <v>16</v>
      </c>
      <c r="D57" s="76"/>
      <c r="E57" s="100">
        <v>58262592</v>
      </c>
      <c r="F57" s="100">
        <v>54125949</v>
      </c>
      <c r="G57" s="100">
        <v>112388541</v>
      </c>
      <c r="H57" s="96">
        <v>2593</v>
      </c>
      <c r="I57" s="100">
        <v>255135167</v>
      </c>
      <c r="J57" s="100">
        <v>64312359</v>
      </c>
      <c r="K57" s="100">
        <v>319447526</v>
      </c>
      <c r="L57" s="96">
        <v>2913</v>
      </c>
      <c r="M57" s="100">
        <v>177069620</v>
      </c>
      <c r="N57" s="100">
        <v>453719304</v>
      </c>
      <c r="O57" s="100">
        <v>630788924</v>
      </c>
      <c r="P57" s="96">
        <v>4215</v>
      </c>
    </row>
    <row r="58" spans="1:101" ht="15" customHeight="1">
      <c r="A58" s="86" t="s">
        <v>15</v>
      </c>
      <c r="B58" s="90" t="s">
        <v>17</v>
      </c>
      <c r="C58" s="77" t="s">
        <v>17</v>
      </c>
      <c r="D58" s="77"/>
      <c r="E58" s="101">
        <v>819011407</v>
      </c>
      <c r="F58" s="101">
        <v>873865250</v>
      </c>
      <c r="G58" s="101">
        <v>1692876657</v>
      </c>
      <c r="H58" s="97">
        <v>6621</v>
      </c>
      <c r="I58" s="101">
        <v>495894660</v>
      </c>
      <c r="J58" s="101">
        <v>1538080009</v>
      </c>
      <c r="K58" s="101">
        <v>2033974669</v>
      </c>
      <c r="L58" s="97">
        <v>6864</v>
      </c>
      <c r="M58" s="101">
        <v>536222365</v>
      </c>
      <c r="N58" s="101">
        <v>1923268219</v>
      </c>
      <c r="O58" s="101">
        <v>2459490584</v>
      </c>
      <c r="P58" s="97">
        <v>6979</v>
      </c>
    </row>
    <row r="59" spans="1:101" ht="15" customHeight="1" thickBot="1">
      <c r="A59" s="85" t="s">
        <v>15</v>
      </c>
      <c r="B59" s="89" t="s">
        <v>18</v>
      </c>
      <c r="C59" s="76" t="s">
        <v>18</v>
      </c>
      <c r="D59" s="76"/>
      <c r="E59" s="100">
        <v>174330485</v>
      </c>
      <c r="F59" s="100">
        <v>166252884</v>
      </c>
      <c r="G59" s="100">
        <v>340583369</v>
      </c>
      <c r="H59" s="96">
        <v>2332</v>
      </c>
      <c r="I59" s="100">
        <v>363638090</v>
      </c>
      <c r="J59" s="100">
        <v>385326979</v>
      </c>
      <c r="K59" s="100">
        <v>748965069</v>
      </c>
      <c r="L59" s="96">
        <v>2580</v>
      </c>
      <c r="M59" s="100">
        <v>158412312</v>
      </c>
      <c r="N59" s="100">
        <v>506416598</v>
      </c>
      <c r="O59" s="100">
        <v>664828910</v>
      </c>
      <c r="P59" s="96">
        <v>3009</v>
      </c>
    </row>
    <row r="60" spans="1:101">
      <c r="A60" s="83" t="s">
        <v>56</v>
      </c>
      <c r="B60" s="88" t="s">
        <v>5</v>
      </c>
      <c r="C60" s="75"/>
      <c r="D60" s="75"/>
      <c r="E60" s="99">
        <f>SUM(E61:E177)</f>
        <v>230591851664</v>
      </c>
      <c r="F60" s="99">
        <f t="shared" ref="F60:P60" si="7">SUM(F61:F177)</f>
        <v>326117084666</v>
      </c>
      <c r="G60" s="99">
        <f t="shared" si="7"/>
        <v>556708936330</v>
      </c>
      <c r="H60" s="95">
        <f t="shared" si="7"/>
        <v>3403852</v>
      </c>
      <c r="I60" s="99">
        <f>SUM(I61:I177)</f>
        <v>137080709671</v>
      </c>
      <c r="J60" s="99">
        <f t="shared" si="7"/>
        <v>559786677639</v>
      </c>
      <c r="K60" s="99">
        <f t="shared" si="7"/>
        <v>696867387310</v>
      </c>
      <c r="L60" s="95">
        <f t="shared" si="7"/>
        <v>3660430</v>
      </c>
      <c r="M60" s="99">
        <f>SUM(M61:M177)</f>
        <v>172435217887</v>
      </c>
      <c r="N60" s="99">
        <f t="shared" si="7"/>
        <v>679219357266</v>
      </c>
      <c r="O60" s="99">
        <f t="shared" si="7"/>
        <v>851654575153</v>
      </c>
      <c r="P60" s="95">
        <f t="shared" si="7"/>
        <v>3804230</v>
      </c>
    </row>
    <row r="61" spans="1:101">
      <c r="A61" s="85" t="s">
        <v>56</v>
      </c>
      <c r="B61" s="89"/>
      <c r="C61" s="76">
        <v>0</v>
      </c>
      <c r="D61" s="76">
        <v>1</v>
      </c>
      <c r="E61" s="100">
        <v>1297523094</v>
      </c>
      <c r="F61" s="100">
        <v>402438503</v>
      </c>
      <c r="G61" s="100">
        <v>1699961597</v>
      </c>
      <c r="H61" s="96">
        <v>10286</v>
      </c>
      <c r="I61" s="100">
        <v>2751424883</v>
      </c>
      <c r="J61" s="100">
        <v>1433351792</v>
      </c>
      <c r="K61" s="100">
        <v>4184776675</v>
      </c>
      <c r="L61" s="96">
        <v>10969</v>
      </c>
      <c r="M61" s="100">
        <v>3290624975</v>
      </c>
      <c r="N61" s="100">
        <v>3362071984</v>
      </c>
      <c r="O61" s="100">
        <v>6652696959</v>
      </c>
      <c r="P61" s="96">
        <v>12405</v>
      </c>
    </row>
    <row r="62" spans="1:101">
      <c r="A62" s="86" t="s">
        <v>56</v>
      </c>
      <c r="B62" s="90"/>
      <c r="C62" s="77">
        <v>0</v>
      </c>
      <c r="D62" s="77">
        <v>2</v>
      </c>
      <c r="E62" s="101">
        <v>18948268495</v>
      </c>
      <c r="F62" s="101">
        <v>11460395995</v>
      </c>
      <c r="G62" s="101">
        <v>30408664490</v>
      </c>
      <c r="H62" s="97">
        <v>112628</v>
      </c>
      <c r="I62" s="101">
        <v>44804240668</v>
      </c>
      <c r="J62" s="101">
        <v>39817958358</v>
      </c>
      <c r="K62" s="101">
        <v>84622199026</v>
      </c>
      <c r="L62" s="97">
        <v>125651</v>
      </c>
      <c r="M62" s="101">
        <v>67438971872</v>
      </c>
      <c r="N62" s="101">
        <v>87320045372</v>
      </c>
      <c r="O62" s="101">
        <v>154759017244</v>
      </c>
      <c r="P62" s="97">
        <v>129963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</row>
    <row r="63" spans="1:101">
      <c r="A63" s="85" t="s">
        <v>56</v>
      </c>
      <c r="B63" s="89"/>
      <c r="C63" s="76">
        <v>0</v>
      </c>
      <c r="D63" s="76">
        <v>3</v>
      </c>
      <c r="E63" s="100">
        <v>37592486158</v>
      </c>
      <c r="F63" s="100">
        <v>32396367728</v>
      </c>
      <c r="G63" s="100">
        <v>69988853886</v>
      </c>
      <c r="H63" s="96">
        <v>986506</v>
      </c>
      <c r="I63" s="100">
        <v>28391179682</v>
      </c>
      <c r="J63" s="100">
        <v>63732545836</v>
      </c>
      <c r="K63" s="100">
        <v>92123725518</v>
      </c>
      <c r="L63" s="96">
        <v>1039768</v>
      </c>
      <c r="M63" s="100">
        <v>30399655867</v>
      </c>
      <c r="N63" s="100">
        <v>77872544035</v>
      </c>
      <c r="O63" s="100">
        <v>108272199902</v>
      </c>
      <c r="P63" s="96">
        <v>1120136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</row>
    <row r="64" spans="1:101">
      <c r="A64" s="86" t="s">
        <v>56</v>
      </c>
      <c r="B64" s="90"/>
      <c r="C64" s="77">
        <v>0</v>
      </c>
      <c r="D64" s="77">
        <v>4</v>
      </c>
      <c r="E64" s="101">
        <v>4550881362</v>
      </c>
      <c r="F64" s="101">
        <v>25620403854</v>
      </c>
      <c r="G64" s="101">
        <v>30171285216</v>
      </c>
      <c r="H64" s="97">
        <v>231539</v>
      </c>
      <c r="I64" s="101">
        <v>358512435</v>
      </c>
      <c r="J64" s="101">
        <v>29932830527</v>
      </c>
      <c r="K64" s="101">
        <v>30291342962</v>
      </c>
      <c r="L64" s="97">
        <v>246878</v>
      </c>
      <c r="M64" s="101">
        <v>86982806</v>
      </c>
      <c r="N64" s="101">
        <v>30152868744</v>
      </c>
      <c r="O64" s="101">
        <v>30239851550</v>
      </c>
      <c r="P64" s="97">
        <v>246964</v>
      </c>
    </row>
    <row r="65" spans="1:16">
      <c r="A65" s="85" t="s">
        <v>56</v>
      </c>
      <c r="B65" s="89"/>
      <c r="C65" s="76">
        <v>0</v>
      </c>
      <c r="D65" s="76">
        <v>5</v>
      </c>
      <c r="E65" s="100">
        <v>17371651733</v>
      </c>
      <c r="F65" s="100">
        <v>30712610118</v>
      </c>
      <c r="G65" s="100">
        <v>48084261851</v>
      </c>
      <c r="H65" s="96">
        <v>29133</v>
      </c>
      <c r="I65" s="100">
        <v>779820910</v>
      </c>
      <c r="J65" s="100">
        <v>43386472338</v>
      </c>
      <c r="K65" s="100">
        <v>44166293248</v>
      </c>
      <c r="L65" s="96">
        <v>31119</v>
      </c>
      <c r="M65" s="100">
        <v>517096792</v>
      </c>
      <c r="N65" s="100">
        <v>44761870318</v>
      </c>
      <c r="O65" s="100">
        <v>45278967110</v>
      </c>
      <c r="P65" s="96">
        <v>31237</v>
      </c>
    </row>
    <row r="66" spans="1:16">
      <c r="A66" s="86" t="s">
        <v>56</v>
      </c>
      <c r="B66" s="90"/>
      <c r="C66" s="77">
        <v>0</v>
      </c>
      <c r="D66" s="77">
        <v>6</v>
      </c>
      <c r="E66" s="101">
        <v>430449642</v>
      </c>
      <c r="F66" s="101">
        <v>692528215</v>
      </c>
      <c r="G66" s="101">
        <v>1122977857</v>
      </c>
      <c r="H66" s="97">
        <v>3156</v>
      </c>
      <c r="I66" s="101">
        <v>35401853</v>
      </c>
      <c r="J66" s="101">
        <v>953081528</v>
      </c>
      <c r="K66" s="101">
        <v>988483381</v>
      </c>
      <c r="L66" s="97">
        <v>3369</v>
      </c>
      <c r="M66" s="101">
        <v>30066520</v>
      </c>
      <c r="N66" s="101">
        <v>990259555</v>
      </c>
      <c r="O66" s="101">
        <v>1020326075</v>
      </c>
      <c r="P66" s="97">
        <v>3375</v>
      </c>
    </row>
    <row r="67" spans="1:16">
      <c r="A67" s="85" t="s">
        <v>56</v>
      </c>
      <c r="B67" s="89"/>
      <c r="C67" s="76">
        <v>0</v>
      </c>
      <c r="D67" s="76">
        <v>7</v>
      </c>
      <c r="E67" s="100">
        <v>1532203656</v>
      </c>
      <c r="F67" s="100">
        <v>3054434489</v>
      </c>
      <c r="G67" s="100">
        <v>4586638145</v>
      </c>
      <c r="H67" s="96">
        <v>2809</v>
      </c>
      <c r="I67" s="100">
        <v>120835250</v>
      </c>
      <c r="J67" s="100">
        <v>4326100237</v>
      </c>
      <c r="K67" s="100">
        <v>4446935487</v>
      </c>
      <c r="L67" s="96">
        <v>3105</v>
      </c>
      <c r="M67" s="100">
        <v>90936619</v>
      </c>
      <c r="N67" s="100">
        <v>4482011924</v>
      </c>
      <c r="O67" s="100">
        <v>4572948543</v>
      </c>
      <c r="P67" s="96">
        <v>3114</v>
      </c>
    </row>
    <row r="68" spans="1:16">
      <c r="A68" s="86" t="s">
        <v>56</v>
      </c>
      <c r="B68" s="90"/>
      <c r="C68" s="77">
        <v>0</v>
      </c>
      <c r="D68" s="77">
        <v>8</v>
      </c>
      <c r="E68" s="101">
        <v>46478515979</v>
      </c>
      <c r="F68" s="101">
        <v>79331460735</v>
      </c>
      <c r="G68" s="101">
        <v>125809976714</v>
      </c>
      <c r="H68" s="97">
        <v>861537</v>
      </c>
      <c r="I68" s="101">
        <v>4488902492</v>
      </c>
      <c r="J68" s="101">
        <v>123615098347</v>
      </c>
      <c r="K68" s="101">
        <v>128104000839</v>
      </c>
      <c r="L68" s="97">
        <v>932568</v>
      </c>
      <c r="M68" s="101">
        <v>2876714585</v>
      </c>
      <c r="N68" s="101">
        <v>128383275707</v>
      </c>
      <c r="O68" s="101">
        <v>131259990292</v>
      </c>
      <c r="P68" s="97">
        <v>933517</v>
      </c>
    </row>
    <row r="69" spans="1:16">
      <c r="A69" s="85" t="s">
        <v>56</v>
      </c>
      <c r="B69" s="89"/>
      <c r="C69" s="76">
        <v>0</v>
      </c>
      <c r="D69" s="76">
        <v>9</v>
      </c>
      <c r="E69" s="100">
        <v>15824634900</v>
      </c>
      <c r="F69" s="100">
        <v>20743509466</v>
      </c>
      <c r="G69" s="100">
        <v>36568144366</v>
      </c>
      <c r="H69" s="96">
        <v>21121</v>
      </c>
      <c r="I69" s="100">
        <v>2238997168</v>
      </c>
      <c r="J69" s="100">
        <v>38944711267</v>
      </c>
      <c r="K69" s="100">
        <v>41183708435</v>
      </c>
      <c r="L69" s="96">
        <v>24606</v>
      </c>
      <c r="M69" s="100">
        <v>2598922334</v>
      </c>
      <c r="N69" s="100">
        <v>41659432096</v>
      </c>
      <c r="O69" s="100">
        <v>44258354430</v>
      </c>
      <c r="P69" s="96">
        <v>24928</v>
      </c>
    </row>
    <row r="70" spans="1:16">
      <c r="A70" s="86" t="s">
        <v>56</v>
      </c>
      <c r="B70" s="90"/>
      <c r="C70" s="77">
        <v>1</v>
      </c>
      <c r="D70" s="77">
        <v>1</v>
      </c>
      <c r="E70" s="101">
        <v>380602962</v>
      </c>
      <c r="F70" s="101">
        <v>127980689</v>
      </c>
      <c r="G70" s="101">
        <v>508583651</v>
      </c>
      <c r="H70" s="97">
        <v>2607</v>
      </c>
      <c r="I70" s="101">
        <v>1160159820</v>
      </c>
      <c r="J70" s="101">
        <v>577831670</v>
      </c>
      <c r="K70" s="101">
        <v>1737991490</v>
      </c>
      <c r="L70" s="97">
        <v>2848</v>
      </c>
      <c r="M70" s="101">
        <v>1515626247</v>
      </c>
      <c r="N70" s="101">
        <v>1204659944</v>
      </c>
      <c r="O70" s="101">
        <v>2720286191</v>
      </c>
      <c r="P70" s="97">
        <v>3182</v>
      </c>
    </row>
    <row r="71" spans="1:16">
      <c r="A71" s="85" t="s">
        <v>56</v>
      </c>
      <c r="B71" s="89"/>
      <c r="C71" s="76">
        <v>1</v>
      </c>
      <c r="D71" s="76">
        <v>2</v>
      </c>
      <c r="E71" s="100">
        <v>4551806543</v>
      </c>
      <c r="F71" s="100">
        <v>2616437932</v>
      </c>
      <c r="G71" s="100">
        <v>7168244475</v>
      </c>
      <c r="H71" s="96">
        <v>26429</v>
      </c>
      <c r="I71" s="100">
        <v>12972922949</v>
      </c>
      <c r="J71" s="100">
        <v>10256233649</v>
      </c>
      <c r="K71" s="100">
        <v>23229156598</v>
      </c>
      <c r="L71" s="96">
        <v>29738</v>
      </c>
      <c r="M71" s="100">
        <v>18605213187</v>
      </c>
      <c r="N71" s="100">
        <v>23097715107</v>
      </c>
      <c r="O71" s="100">
        <v>41702928294</v>
      </c>
      <c r="P71" s="96">
        <v>30933</v>
      </c>
    </row>
    <row r="72" spans="1:16">
      <c r="A72" s="86" t="s">
        <v>56</v>
      </c>
      <c r="B72" s="90"/>
      <c r="C72" s="77">
        <v>1</v>
      </c>
      <c r="D72" s="77">
        <v>3</v>
      </c>
      <c r="E72" s="101">
        <v>9422681202</v>
      </c>
      <c r="F72" s="101">
        <v>9956191056</v>
      </c>
      <c r="G72" s="101">
        <v>19378872258</v>
      </c>
      <c r="H72" s="97">
        <v>235960</v>
      </c>
      <c r="I72" s="101">
        <v>7320712809</v>
      </c>
      <c r="J72" s="101">
        <v>19629038237</v>
      </c>
      <c r="K72" s="101">
        <v>26949751046</v>
      </c>
      <c r="L72" s="97">
        <v>252555</v>
      </c>
      <c r="M72" s="101">
        <v>8238164588</v>
      </c>
      <c r="N72" s="101">
        <v>23470478464</v>
      </c>
      <c r="O72" s="101">
        <v>31708643052</v>
      </c>
      <c r="P72" s="97">
        <v>273559</v>
      </c>
    </row>
    <row r="73" spans="1:16">
      <c r="A73" s="85" t="s">
        <v>56</v>
      </c>
      <c r="B73" s="89"/>
      <c r="C73" s="76">
        <v>1</v>
      </c>
      <c r="D73" s="76">
        <v>4</v>
      </c>
      <c r="E73" s="100">
        <v>1967470853</v>
      </c>
      <c r="F73" s="100">
        <v>10152083060</v>
      </c>
      <c r="G73" s="100">
        <v>12119553913</v>
      </c>
      <c r="H73" s="96">
        <v>76666</v>
      </c>
      <c r="I73" s="100">
        <v>179493432</v>
      </c>
      <c r="J73" s="100">
        <v>12111246701</v>
      </c>
      <c r="K73" s="100">
        <v>12290740133</v>
      </c>
      <c r="L73" s="96">
        <v>82188</v>
      </c>
      <c r="M73" s="100">
        <v>19232614</v>
      </c>
      <c r="N73" s="100">
        <v>12202720356</v>
      </c>
      <c r="O73" s="100">
        <v>12221952970</v>
      </c>
      <c r="P73" s="96">
        <v>82207</v>
      </c>
    </row>
    <row r="74" spans="1:16">
      <c r="A74" s="86" t="s">
        <v>56</v>
      </c>
      <c r="B74" s="90"/>
      <c r="C74" s="77">
        <v>1</v>
      </c>
      <c r="D74" s="77">
        <v>5</v>
      </c>
      <c r="E74" s="101">
        <v>5742179645</v>
      </c>
      <c r="F74" s="101">
        <v>10263266106</v>
      </c>
      <c r="G74" s="101">
        <v>16005445751</v>
      </c>
      <c r="H74" s="97">
        <v>5621</v>
      </c>
      <c r="I74" s="101">
        <v>360171503</v>
      </c>
      <c r="J74" s="101">
        <v>14653947467</v>
      </c>
      <c r="K74" s="101">
        <v>15014118970</v>
      </c>
      <c r="L74" s="97">
        <v>6089</v>
      </c>
      <c r="M74" s="101">
        <v>194667598</v>
      </c>
      <c r="N74" s="101">
        <v>15341544217</v>
      </c>
      <c r="O74" s="101">
        <v>15536211815</v>
      </c>
      <c r="P74" s="97">
        <v>6127</v>
      </c>
    </row>
    <row r="75" spans="1:16">
      <c r="A75" s="85" t="s">
        <v>56</v>
      </c>
      <c r="B75" s="89"/>
      <c r="C75" s="76">
        <v>1</v>
      </c>
      <c r="D75" s="76">
        <v>6</v>
      </c>
      <c r="E75" s="100">
        <v>154138394</v>
      </c>
      <c r="F75" s="100">
        <v>213686814</v>
      </c>
      <c r="G75" s="100">
        <v>367825208</v>
      </c>
      <c r="H75" s="96">
        <v>858</v>
      </c>
      <c r="I75" s="100">
        <v>4409209</v>
      </c>
      <c r="J75" s="100">
        <v>324919463</v>
      </c>
      <c r="K75" s="100">
        <v>329328672</v>
      </c>
      <c r="L75" s="96">
        <v>919</v>
      </c>
      <c r="M75" s="100">
        <v>0</v>
      </c>
      <c r="N75" s="100">
        <v>333185599</v>
      </c>
      <c r="O75" s="100">
        <v>333185599</v>
      </c>
      <c r="P75" s="96">
        <v>921</v>
      </c>
    </row>
    <row r="76" spans="1:16">
      <c r="A76" s="86" t="s">
        <v>56</v>
      </c>
      <c r="B76" s="90"/>
      <c r="C76" s="77">
        <v>1</v>
      </c>
      <c r="D76" s="77">
        <v>7</v>
      </c>
      <c r="E76" s="101">
        <v>613075413</v>
      </c>
      <c r="F76" s="101">
        <v>1136938865</v>
      </c>
      <c r="G76" s="101">
        <v>1750014278</v>
      </c>
      <c r="H76" s="97">
        <v>668</v>
      </c>
      <c r="I76" s="101">
        <v>73384074</v>
      </c>
      <c r="J76" s="101">
        <v>1816639219</v>
      </c>
      <c r="K76" s="101">
        <v>1890023293</v>
      </c>
      <c r="L76" s="97">
        <v>754</v>
      </c>
      <c r="M76" s="101">
        <v>40003432</v>
      </c>
      <c r="N76" s="101">
        <v>1850179777</v>
      </c>
      <c r="O76" s="101">
        <v>1890183209</v>
      </c>
      <c r="P76" s="97">
        <v>754</v>
      </c>
    </row>
    <row r="77" spans="1:16">
      <c r="A77" s="85" t="s">
        <v>56</v>
      </c>
      <c r="B77" s="89"/>
      <c r="C77" s="76">
        <v>1</v>
      </c>
      <c r="D77" s="76">
        <v>8</v>
      </c>
      <c r="E77" s="100">
        <v>13503248422</v>
      </c>
      <c r="F77" s="100">
        <v>20083563358</v>
      </c>
      <c r="G77" s="100">
        <v>33586811780</v>
      </c>
      <c r="H77" s="96">
        <v>226194</v>
      </c>
      <c r="I77" s="100">
        <v>2369658144</v>
      </c>
      <c r="J77" s="100">
        <v>34952621009</v>
      </c>
      <c r="K77" s="100">
        <v>37322279153</v>
      </c>
      <c r="L77" s="96">
        <v>251723</v>
      </c>
      <c r="M77" s="100">
        <v>927757326</v>
      </c>
      <c r="N77" s="100">
        <v>36625875199</v>
      </c>
      <c r="O77" s="100">
        <v>37553632525</v>
      </c>
      <c r="P77" s="96">
        <v>252029</v>
      </c>
    </row>
    <row r="78" spans="1:16">
      <c r="A78" s="86" t="s">
        <v>56</v>
      </c>
      <c r="B78" s="90"/>
      <c r="C78" s="77">
        <v>1</v>
      </c>
      <c r="D78" s="77">
        <v>9</v>
      </c>
      <c r="E78" s="101">
        <v>5478611169</v>
      </c>
      <c r="F78" s="101">
        <v>5487413936</v>
      </c>
      <c r="G78" s="101">
        <v>10966025105</v>
      </c>
      <c r="H78" s="97">
        <v>4149</v>
      </c>
      <c r="I78" s="101">
        <v>866981027</v>
      </c>
      <c r="J78" s="101">
        <v>11157000631</v>
      </c>
      <c r="K78" s="101">
        <v>12023981658</v>
      </c>
      <c r="L78" s="97">
        <v>4837</v>
      </c>
      <c r="M78" s="101">
        <v>1041100089</v>
      </c>
      <c r="N78" s="101">
        <v>12238622957</v>
      </c>
      <c r="O78" s="101">
        <v>13279723046</v>
      </c>
      <c r="P78" s="97">
        <v>4915</v>
      </c>
    </row>
    <row r="79" spans="1:16">
      <c r="A79" s="85" t="s">
        <v>56</v>
      </c>
      <c r="B79" s="89"/>
      <c r="C79" s="76">
        <v>3</v>
      </c>
      <c r="D79" s="76">
        <v>1</v>
      </c>
      <c r="E79" s="100">
        <v>126882626</v>
      </c>
      <c r="F79" s="100">
        <v>43453752</v>
      </c>
      <c r="G79" s="100">
        <v>170336378</v>
      </c>
      <c r="H79" s="96">
        <v>1019</v>
      </c>
      <c r="I79" s="100">
        <v>185181741</v>
      </c>
      <c r="J79" s="100">
        <v>198039348</v>
      </c>
      <c r="K79" s="100">
        <v>383221089</v>
      </c>
      <c r="L79" s="96">
        <v>1118</v>
      </c>
      <c r="M79" s="100">
        <v>499844968</v>
      </c>
      <c r="N79" s="100">
        <v>399188135</v>
      </c>
      <c r="O79" s="100">
        <v>899033103</v>
      </c>
      <c r="P79" s="96">
        <v>1285</v>
      </c>
    </row>
    <row r="80" spans="1:16">
      <c r="A80" s="86" t="s">
        <v>56</v>
      </c>
      <c r="B80" s="90"/>
      <c r="C80" s="77">
        <v>3</v>
      </c>
      <c r="D80" s="77">
        <v>2</v>
      </c>
      <c r="E80" s="101">
        <v>2709702939</v>
      </c>
      <c r="F80" s="101">
        <v>1402435379</v>
      </c>
      <c r="G80" s="101">
        <v>4112138318</v>
      </c>
      <c r="H80" s="97">
        <v>13419</v>
      </c>
      <c r="I80" s="101">
        <v>7370576564</v>
      </c>
      <c r="J80" s="101">
        <v>6314599420</v>
      </c>
      <c r="K80" s="101">
        <v>13685175984</v>
      </c>
      <c r="L80" s="97">
        <v>15247</v>
      </c>
      <c r="M80" s="101">
        <v>9072326990</v>
      </c>
      <c r="N80" s="101">
        <v>14968351600</v>
      </c>
      <c r="O80" s="101">
        <v>24040678590</v>
      </c>
      <c r="P80" s="97">
        <v>15958</v>
      </c>
    </row>
    <row r="81" spans="1:16">
      <c r="A81" s="85" t="s">
        <v>56</v>
      </c>
      <c r="B81" s="89"/>
      <c r="C81" s="76">
        <v>3</v>
      </c>
      <c r="D81" s="76">
        <v>3</v>
      </c>
      <c r="E81" s="100">
        <v>5573894849</v>
      </c>
      <c r="F81" s="100">
        <v>6273989533</v>
      </c>
      <c r="G81" s="100">
        <v>11847884382</v>
      </c>
      <c r="H81" s="96">
        <v>144147</v>
      </c>
      <c r="I81" s="100">
        <v>3214412067</v>
      </c>
      <c r="J81" s="100">
        <v>11653552917</v>
      </c>
      <c r="K81" s="100">
        <v>14867964984</v>
      </c>
      <c r="L81" s="96">
        <v>154593</v>
      </c>
      <c r="M81" s="100">
        <v>3295855618</v>
      </c>
      <c r="N81" s="100">
        <v>14406383604</v>
      </c>
      <c r="O81" s="100">
        <v>17702239222</v>
      </c>
      <c r="P81" s="96">
        <v>170760</v>
      </c>
    </row>
    <row r="82" spans="1:16">
      <c r="A82" s="86" t="s">
        <v>56</v>
      </c>
      <c r="B82" s="90"/>
      <c r="C82" s="77">
        <v>3</v>
      </c>
      <c r="D82" s="77">
        <v>4</v>
      </c>
      <c r="E82" s="101">
        <v>683655165</v>
      </c>
      <c r="F82" s="101">
        <v>6243150723</v>
      </c>
      <c r="G82" s="101">
        <v>6926805888</v>
      </c>
      <c r="H82" s="97">
        <v>42967</v>
      </c>
      <c r="I82" s="101">
        <v>61178681</v>
      </c>
      <c r="J82" s="101">
        <v>7811989461</v>
      </c>
      <c r="K82" s="101">
        <v>7873168142</v>
      </c>
      <c r="L82" s="97">
        <v>46864</v>
      </c>
      <c r="M82" s="101">
        <v>12269369</v>
      </c>
      <c r="N82" s="101">
        <v>7856489621</v>
      </c>
      <c r="O82" s="101">
        <v>7868758990</v>
      </c>
      <c r="P82" s="97">
        <v>46879</v>
      </c>
    </row>
    <row r="83" spans="1:16">
      <c r="A83" s="85" t="s">
        <v>56</v>
      </c>
      <c r="B83" s="89"/>
      <c r="C83" s="76">
        <v>3</v>
      </c>
      <c r="D83" s="76">
        <v>5</v>
      </c>
      <c r="E83" s="100">
        <v>3317211251</v>
      </c>
      <c r="F83" s="100">
        <v>5983513736</v>
      </c>
      <c r="G83" s="100">
        <v>9300724987</v>
      </c>
      <c r="H83" s="96">
        <v>2810</v>
      </c>
      <c r="I83" s="100">
        <v>281386618</v>
      </c>
      <c r="J83" s="100">
        <v>9384859699</v>
      </c>
      <c r="K83" s="100">
        <v>9666246317</v>
      </c>
      <c r="L83" s="96">
        <v>3100</v>
      </c>
      <c r="M83" s="100">
        <v>149333534</v>
      </c>
      <c r="N83" s="100">
        <v>9643726424</v>
      </c>
      <c r="O83" s="100">
        <v>9793059958</v>
      </c>
      <c r="P83" s="96">
        <v>3122</v>
      </c>
    </row>
    <row r="84" spans="1:16">
      <c r="A84" s="86" t="s">
        <v>56</v>
      </c>
      <c r="B84" s="90"/>
      <c r="C84" s="77">
        <v>3</v>
      </c>
      <c r="D84" s="77">
        <v>6</v>
      </c>
      <c r="E84" s="101">
        <v>91504707</v>
      </c>
      <c r="F84" s="101">
        <v>118999876</v>
      </c>
      <c r="G84" s="101">
        <v>210504583</v>
      </c>
      <c r="H84" s="97">
        <v>478</v>
      </c>
      <c r="I84" s="101">
        <v>22045775</v>
      </c>
      <c r="J84" s="101">
        <v>167443626</v>
      </c>
      <c r="K84" s="101">
        <v>189489401</v>
      </c>
      <c r="L84" s="97">
        <v>502</v>
      </c>
      <c r="M84" s="101">
        <v>28219506</v>
      </c>
      <c r="N84" s="101">
        <v>174658621</v>
      </c>
      <c r="O84" s="101">
        <v>202878127</v>
      </c>
      <c r="P84" s="97">
        <v>503</v>
      </c>
    </row>
    <row r="85" spans="1:16">
      <c r="A85" s="85" t="s">
        <v>56</v>
      </c>
      <c r="B85" s="89"/>
      <c r="C85" s="76">
        <v>3</v>
      </c>
      <c r="D85" s="76">
        <v>7</v>
      </c>
      <c r="E85" s="100">
        <v>342063734</v>
      </c>
      <c r="F85" s="100">
        <v>847227674</v>
      </c>
      <c r="G85" s="100">
        <v>1189291408</v>
      </c>
      <c r="H85" s="96">
        <v>345</v>
      </c>
      <c r="I85" s="100">
        <v>14413268</v>
      </c>
      <c r="J85" s="100">
        <v>1132908236</v>
      </c>
      <c r="K85" s="100">
        <v>1147321504</v>
      </c>
      <c r="L85" s="96">
        <v>399</v>
      </c>
      <c r="M85" s="100">
        <v>63346042</v>
      </c>
      <c r="N85" s="100">
        <v>1155184216</v>
      </c>
      <c r="O85" s="100">
        <v>1218530258</v>
      </c>
      <c r="P85" s="96">
        <v>399</v>
      </c>
    </row>
    <row r="86" spans="1:16">
      <c r="A86" s="86" t="s">
        <v>56</v>
      </c>
      <c r="B86" s="90"/>
      <c r="C86" s="77">
        <v>3</v>
      </c>
      <c r="D86" s="77">
        <v>8</v>
      </c>
      <c r="E86" s="101">
        <v>5301533753</v>
      </c>
      <c r="F86" s="101">
        <v>10125793647</v>
      </c>
      <c r="G86" s="101">
        <v>15427327400</v>
      </c>
      <c r="H86" s="97">
        <v>122917</v>
      </c>
      <c r="I86" s="101">
        <v>513099897</v>
      </c>
      <c r="J86" s="101">
        <v>17542575871</v>
      </c>
      <c r="K86" s="101">
        <v>18055675768</v>
      </c>
      <c r="L86" s="97">
        <v>137926</v>
      </c>
      <c r="M86" s="101">
        <v>193729049</v>
      </c>
      <c r="N86" s="101">
        <v>18499029439</v>
      </c>
      <c r="O86" s="101">
        <v>18692758488</v>
      </c>
      <c r="P86" s="97">
        <v>138057</v>
      </c>
    </row>
    <row r="87" spans="1:16">
      <c r="A87" s="85" t="s">
        <v>56</v>
      </c>
      <c r="B87" s="89"/>
      <c r="C87" s="76">
        <v>3</v>
      </c>
      <c r="D87" s="76">
        <v>9</v>
      </c>
      <c r="E87" s="100">
        <v>2993138460</v>
      </c>
      <c r="F87" s="100">
        <v>2775438949</v>
      </c>
      <c r="G87" s="100">
        <v>5768577409</v>
      </c>
      <c r="H87" s="96">
        <v>1524</v>
      </c>
      <c r="I87" s="100">
        <v>506511095</v>
      </c>
      <c r="J87" s="100">
        <v>6108374951</v>
      </c>
      <c r="K87" s="100">
        <v>6614886046</v>
      </c>
      <c r="L87" s="96">
        <v>1799</v>
      </c>
      <c r="M87" s="100">
        <v>416382455</v>
      </c>
      <c r="N87" s="100">
        <v>6662946437</v>
      </c>
      <c r="O87" s="100">
        <v>7079328892</v>
      </c>
      <c r="P87" s="96">
        <v>1853</v>
      </c>
    </row>
    <row r="88" spans="1:16">
      <c r="A88" s="86" t="s">
        <v>56</v>
      </c>
      <c r="B88" s="90"/>
      <c r="C88" s="77">
        <v>6</v>
      </c>
      <c r="D88" s="77">
        <v>1</v>
      </c>
      <c r="E88" s="101">
        <v>155898410</v>
      </c>
      <c r="F88" s="101">
        <v>38561759</v>
      </c>
      <c r="G88" s="101">
        <v>194460169</v>
      </c>
      <c r="H88" s="97">
        <v>396</v>
      </c>
      <c r="I88" s="101">
        <v>139466696</v>
      </c>
      <c r="J88" s="101">
        <v>130358852</v>
      </c>
      <c r="K88" s="101">
        <v>269825548</v>
      </c>
      <c r="L88" s="97">
        <v>475</v>
      </c>
      <c r="M88" s="101">
        <v>385389463</v>
      </c>
      <c r="N88" s="101">
        <v>173868252</v>
      </c>
      <c r="O88" s="101">
        <v>559257715</v>
      </c>
      <c r="P88" s="97">
        <v>524</v>
      </c>
    </row>
    <row r="89" spans="1:16">
      <c r="A89" s="85" t="s">
        <v>56</v>
      </c>
      <c r="B89" s="89"/>
      <c r="C89" s="76">
        <v>6</v>
      </c>
      <c r="D89" s="76">
        <v>2</v>
      </c>
      <c r="E89" s="100">
        <v>2058392268</v>
      </c>
      <c r="F89" s="100">
        <v>861970671</v>
      </c>
      <c r="G89" s="100">
        <v>2920362939</v>
      </c>
      <c r="H89" s="96">
        <v>5809</v>
      </c>
      <c r="I89" s="100">
        <v>4739870451</v>
      </c>
      <c r="J89" s="100">
        <v>4303172305</v>
      </c>
      <c r="K89" s="100">
        <v>9043042756</v>
      </c>
      <c r="L89" s="96">
        <v>6889</v>
      </c>
      <c r="M89" s="100">
        <v>7892133951</v>
      </c>
      <c r="N89" s="100">
        <v>9306675838</v>
      </c>
      <c r="O89" s="100">
        <v>17198809789</v>
      </c>
      <c r="P89" s="96">
        <v>7276</v>
      </c>
    </row>
    <row r="90" spans="1:16">
      <c r="A90" s="86" t="s">
        <v>56</v>
      </c>
      <c r="B90" s="90"/>
      <c r="C90" s="77">
        <v>6</v>
      </c>
      <c r="D90" s="77">
        <v>3</v>
      </c>
      <c r="E90" s="101">
        <v>5135253384</v>
      </c>
      <c r="F90" s="101">
        <v>6475901409</v>
      </c>
      <c r="G90" s="101">
        <v>11611154793</v>
      </c>
      <c r="H90" s="97">
        <v>91108</v>
      </c>
      <c r="I90" s="101">
        <v>3921031804</v>
      </c>
      <c r="J90" s="101">
        <v>12012050347</v>
      </c>
      <c r="K90" s="101">
        <v>15933082151</v>
      </c>
      <c r="L90" s="97">
        <v>96889</v>
      </c>
      <c r="M90" s="101">
        <v>5223072743</v>
      </c>
      <c r="N90" s="101">
        <v>15992695165</v>
      </c>
      <c r="O90" s="101">
        <v>21215767908</v>
      </c>
      <c r="P90" s="97">
        <v>103038</v>
      </c>
    </row>
    <row r="91" spans="1:16">
      <c r="A91" s="85" t="s">
        <v>56</v>
      </c>
      <c r="B91" s="89"/>
      <c r="C91" s="76">
        <v>6</v>
      </c>
      <c r="D91" s="76">
        <v>4</v>
      </c>
      <c r="E91" s="100">
        <v>87659420</v>
      </c>
      <c r="F91" s="100">
        <v>406885770</v>
      </c>
      <c r="G91" s="100">
        <v>494545190</v>
      </c>
      <c r="H91" s="96">
        <v>2152</v>
      </c>
      <c r="I91" s="100">
        <v>3806114</v>
      </c>
      <c r="J91" s="100">
        <v>515719859</v>
      </c>
      <c r="K91" s="100">
        <v>519525973</v>
      </c>
      <c r="L91" s="96">
        <v>2257</v>
      </c>
      <c r="M91" s="100">
        <v>2757741</v>
      </c>
      <c r="N91" s="100">
        <v>534562818</v>
      </c>
      <c r="O91" s="100">
        <v>537320559</v>
      </c>
      <c r="P91" s="96">
        <v>2257</v>
      </c>
    </row>
    <row r="92" spans="1:16">
      <c r="A92" s="86" t="s">
        <v>56</v>
      </c>
      <c r="B92" s="90"/>
      <c r="C92" s="77">
        <v>6</v>
      </c>
      <c r="D92" s="77">
        <v>5</v>
      </c>
      <c r="E92" s="101">
        <v>1873104350</v>
      </c>
      <c r="F92" s="101">
        <v>2522438720</v>
      </c>
      <c r="G92" s="101">
        <v>4395543070</v>
      </c>
      <c r="H92" s="97">
        <v>542</v>
      </c>
      <c r="I92" s="101">
        <v>74778050</v>
      </c>
      <c r="J92" s="101">
        <v>3805061824</v>
      </c>
      <c r="K92" s="101">
        <v>3879839874</v>
      </c>
      <c r="L92" s="97">
        <v>585</v>
      </c>
      <c r="M92" s="101">
        <v>30889642</v>
      </c>
      <c r="N92" s="101">
        <v>3856534431</v>
      </c>
      <c r="O92" s="101">
        <v>3887424073</v>
      </c>
      <c r="P92" s="97">
        <v>590</v>
      </c>
    </row>
    <row r="93" spans="1:16">
      <c r="A93" s="85" t="s">
        <v>56</v>
      </c>
      <c r="B93" s="89"/>
      <c r="C93" s="76">
        <v>6</v>
      </c>
      <c r="D93" s="76">
        <v>6</v>
      </c>
      <c r="E93" s="100">
        <v>72353440</v>
      </c>
      <c r="F93" s="100">
        <v>160640058</v>
      </c>
      <c r="G93" s="100">
        <v>232993498</v>
      </c>
      <c r="H93" s="96">
        <v>251</v>
      </c>
      <c r="I93" s="100">
        <v>0</v>
      </c>
      <c r="J93" s="100">
        <v>252557606</v>
      </c>
      <c r="K93" s="100">
        <v>252557606</v>
      </c>
      <c r="L93" s="96">
        <v>266</v>
      </c>
      <c r="M93" s="100">
        <v>0</v>
      </c>
      <c r="N93" s="100">
        <v>252557606</v>
      </c>
      <c r="O93" s="100">
        <v>252557606</v>
      </c>
      <c r="P93" s="96">
        <v>266</v>
      </c>
    </row>
    <row r="94" spans="1:16">
      <c r="A94" s="86" t="s">
        <v>56</v>
      </c>
      <c r="B94" s="90"/>
      <c r="C94" s="77">
        <v>6</v>
      </c>
      <c r="D94" s="77">
        <v>7</v>
      </c>
      <c r="E94" s="101">
        <v>629338576</v>
      </c>
      <c r="F94" s="101">
        <v>1106922399</v>
      </c>
      <c r="G94" s="101">
        <v>1736260975</v>
      </c>
      <c r="H94" s="97">
        <v>176</v>
      </c>
      <c r="I94" s="101">
        <v>62652719</v>
      </c>
      <c r="J94" s="101">
        <v>1574996036</v>
      </c>
      <c r="K94" s="101">
        <v>1637648755</v>
      </c>
      <c r="L94" s="97">
        <v>194</v>
      </c>
      <c r="M94" s="101">
        <v>8257741</v>
      </c>
      <c r="N94" s="101">
        <v>1619217576</v>
      </c>
      <c r="O94" s="101">
        <v>1627475317</v>
      </c>
      <c r="P94" s="97">
        <v>194</v>
      </c>
    </row>
    <row r="95" spans="1:16">
      <c r="A95" s="85" t="s">
        <v>56</v>
      </c>
      <c r="B95" s="89"/>
      <c r="C95" s="76">
        <v>6</v>
      </c>
      <c r="D95" s="76">
        <v>8</v>
      </c>
      <c r="E95" s="100">
        <v>644548586</v>
      </c>
      <c r="F95" s="100">
        <v>1826322338</v>
      </c>
      <c r="G95" s="100">
        <v>2470870924</v>
      </c>
      <c r="H95" s="96">
        <v>14248</v>
      </c>
      <c r="I95" s="100">
        <v>67686288</v>
      </c>
      <c r="J95" s="100">
        <v>3179937127</v>
      </c>
      <c r="K95" s="100">
        <v>3247623415</v>
      </c>
      <c r="L95" s="96">
        <v>14811</v>
      </c>
      <c r="M95" s="100">
        <v>46422406</v>
      </c>
      <c r="N95" s="100">
        <v>3271675749</v>
      </c>
      <c r="O95" s="100">
        <v>3318098155</v>
      </c>
      <c r="P95" s="96">
        <v>14828</v>
      </c>
    </row>
    <row r="96" spans="1:16">
      <c r="A96" s="86" t="s">
        <v>56</v>
      </c>
      <c r="B96" s="90"/>
      <c r="C96" s="77">
        <v>6</v>
      </c>
      <c r="D96" s="77">
        <v>9</v>
      </c>
      <c r="E96" s="101">
        <v>3711046773</v>
      </c>
      <c r="F96" s="101">
        <v>3136584238</v>
      </c>
      <c r="G96" s="101">
        <v>6847631011</v>
      </c>
      <c r="H96" s="97">
        <v>691</v>
      </c>
      <c r="I96" s="101">
        <v>559210642</v>
      </c>
      <c r="J96" s="101">
        <v>5060873218</v>
      </c>
      <c r="K96" s="101">
        <v>5620083860</v>
      </c>
      <c r="L96" s="97">
        <v>737</v>
      </c>
      <c r="M96" s="101">
        <v>305424970</v>
      </c>
      <c r="N96" s="101">
        <v>5412654119</v>
      </c>
      <c r="O96" s="101">
        <v>5718079089</v>
      </c>
      <c r="P96" s="97">
        <v>749</v>
      </c>
    </row>
    <row r="97" spans="1:16">
      <c r="A97" s="85" t="s">
        <v>56</v>
      </c>
      <c r="B97" s="89"/>
      <c r="C97" s="76">
        <v>7</v>
      </c>
      <c r="D97" s="76">
        <v>1</v>
      </c>
      <c r="E97" s="100">
        <v>58772748</v>
      </c>
      <c r="F97" s="100">
        <v>7155377</v>
      </c>
      <c r="G97" s="100">
        <v>65928125</v>
      </c>
      <c r="H97" s="96">
        <v>4728</v>
      </c>
      <c r="I97" s="100">
        <v>106463562</v>
      </c>
      <c r="J97" s="100">
        <v>39794668</v>
      </c>
      <c r="K97" s="100">
        <v>146258230</v>
      </c>
      <c r="L97" s="96">
        <v>4783</v>
      </c>
      <c r="M97" s="100">
        <v>377323952</v>
      </c>
      <c r="N97" s="100">
        <v>74658204</v>
      </c>
      <c r="O97" s="100">
        <v>451982156</v>
      </c>
      <c r="P97" s="96">
        <v>4787</v>
      </c>
    </row>
    <row r="98" spans="1:16">
      <c r="A98" s="86" t="s">
        <v>56</v>
      </c>
      <c r="B98" s="90"/>
      <c r="C98" s="77">
        <v>7</v>
      </c>
      <c r="D98" s="77">
        <v>2</v>
      </c>
      <c r="E98" s="101">
        <v>472810818</v>
      </c>
      <c r="F98" s="101">
        <v>175298820</v>
      </c>
      <c r="G98" s="101">
        <v>648109638</v>
      </c>
      <c r="H98" s="97">
        <v>3848</v>
      </c>
      <c r="I98" s="101">
        <v>1625418146</v>
      </c>
      <c r="J98" s="101">
        <v>515931379</v>
      </c>
      <c r="K98" s="101">
        <v>2141349525</v>
      </c>
      <c r="L98" s="97">
        <v>4085</v>
      </c>
      <c r="M98" s="101">
        <v>1959338367</v>
      </c>
      <c r="N98" s="101">
        <v>883878336</v>
      </c>
      <c r="O98" s="101">
        <v>2843216703</v>
      </c>
      <c r="P98" s="97">
        <v>4148</v>
      </c>
    </row>
    <row r="99" spans="1:16">
      <c r="A99" s="85" t="s">
        <v>56</v>
      </c>
      <c r="B99" s="89"/>
      <c r="C99" s="76">
        <v>7</v>
      </c>
      <c r="D99" s="76">
        <v>3</v>
      </c>
      <c r="E99" s="100">
        <v>929717747</v>
      </c>
      <c r="F99" s="100">
        <v>554290470</v>
      </c>
      <c r="G99" s="100">
        <v>1484008217</v>
      </c>
      <c r="H99" s="96">
        <v>41909</v>
      </c>
      <c r="I99" s="100">
        <v>579207157</v>
      </c>
      <c r="J99" s="100">
        <v>824467531</v>
      </c>
      <c r="K99" s="100">
        <v>1403674688</v>
      </c>
      <c r="L99" s="96">
        <v>42645</v>
      </c>
      <c r="M99" s="100">
        <v>670973295</v>
      </c>
      <c r="N99" s="100">
        <v>910768594</v>
      </c>
      <c r="O99" s="100">
        <v>1581741889</v>
      </c>
      <c r="P99" s="96">
        <v>42715</v>
      </c>
    </row>
    <row r="100" spans="1:16">
      <c r="A100" s="86" t="s">
        <v>56</v>
      </c>
      <c r="B100" s="90"/>
      <c r="C100" s="77">
        <v>7</v>
      </c>
      <c r="D100" s="77">
        <v>4</v>
      </c>
      <c r="E100" s="101">
        <v>12982488</v>
      </c>
      <c r="F100" s="101">
        <v>9673413</v>
      </c>
      <c r="G100" s="101">
        <v>22655901</v>
      </c>
      <c r="H100" s="97">
        <v>255</v>
      </c>
      <c r="I100" s="101">
        <v>4369291</v>
      </c>
      <c r="J100" s="101">
        <v>18162240</v>
      </c>
      <c r="K100" s="101">
        <v>22531531</v>
      </c>
      <c r="L100" s="97">
        <v>271</v>
      </c>
      <c r="M100" s="101">
        <v>0</v>
      </c>
      <c r="N100" s="101">
        <v>18246785</v>
      </c>
      <c r="O100" s="101">
        <v>18246785</v>
      </c>
      <c r="P100" s="97">
        <v>271</v>
      </c>
    </row>
    <row r="101" spans="1:16">
      <c r="A101" s="85" t="s">
        <v>56</v>
      </c>
      <c r="B101" s="89"/>
      <c r="C101" s="76">
        <v>7</v>
      </c>
      <c r="D101" s="76">
        <v>5</v>
      </c>
      <c r="E101" s="100">
        <v>2145777231</v>
      </c>
      <c r="F101" s="100">
        <v>4903154521</v>
      </c>
      <c r="G101" s="100">
        <v>7048931752</v>
      </c>
      <c r="H101" s="96">
        <v>13755</v>
      </c>
      <c r="I101" s="100">
        <v>111282760</v>
      </c>
      <c r="J101" s="100">
        <v>6205212932</v>
      </c>
      <c r="K101" s="100">
        <v>6316495692</v>
      </c>
      <c r="L101" s="96">
        <v>13886</v>
      </c>
      <c r="M101" s="100">
        <v>67796572</v>
      </c>
      <c r="N101" s="100">
        <v>6229992602</v>
      </c>
      <c r="O101" s="100">
        <v>6297789174</v>
      </c>
      <c r="P101" s="96">
        <v>13887</v>
      </c>
    </row>
    <row r="102" spans="1:16">
      <c r="A102" s="86" t="s">
        <v>56</v>
      </c>
      <c r="B102" s="90"/>
      <c r="C102" s="77">
        <v>7</v>
      </c>
      <c r="D102" s="77">
        <v>6</v>
      </c>
      <c r="E102" s="101">
        <v>5333356</v>
      </c>
      <c r="F102" s="101">
        <v>372715</v>
      </c>
      <c r="G102" s="101">
        <v>5706071</v>
      </c>
      <c r="H102" s="97">
        <v>99</v>
      </c>
      <c r="I102" s="101">
        <v>1363600</v>
      </c>
      <c r="J102" s="101">
        <v>411133</v>
      </c>
      <c r="K102" s="101">
        <v>1774733</v>
      </c>
      <c r="L102" s="97">
        <v>110</v>
      </c>
      <c r="M102" s="101">
        <v>0</v>
      </c>
      <c r="N102" s="101">
        <v>6993083</v>
      </c>
      <c r="O102" s="101">
        <v>6993083</v>
      </c>
      <c r="P102" s="97">
        <v>110</v>
      </c>
    </row>
    <row r="103" spans="1:16">
      <c r="A103" s="85" t="s">
        <v>56</v>
      </c>
      <c r="B103" s="89"/>
      <c r="C103" s="76">
        <v>7</v>
      </c>
      <c r="D103" s="76">
        <v>7</v>
      </c>
      <c r="E103" s="100">
        <v>31622810</v>
      </c>
      <c r="F103" s="100">
        <v>38514994</v>
      </c>
      <c r="G103" s="100">
        <v>70137804</v>
      </c>
      <c r="H103" s="96">
        <v>98</v>
      </c>
      <c r="I103" s="100">
        <v>0</v>
      </c>
      <c r="J103" s="100">
        <v>44946305</v>
      </c>
      <c r="K103" s="100">
        <v>44946305</v>
      </c>
      <c r="L103" s="96">
        <v>100</v>
      </c>
      <c r="M103" s="100">
        <v>0</v>
      </c>
      <c r="N103" s="100">
        <v>44946305</v>
      </c>
      <c r="O103" s="100">
        <v>44946305</v>
      </c>
      <c r="P103" s="96">
        <v>100</v>
      </c>
    </row>
    <row r="104" spans="1:16">
      <c r="A104" s="86" t="s">
        <v>56</v>
      </c>
      <c r="B104" s="90"/>
      <c r="C104" s="77">
        <v>7</v>
      </c>
      <c r="D104" s="77">
        <v>8</v>
      </c>
      <c r="E104" s="101">
        <v>68363593</v>
      </c>
      <c r="F104" s="101">
        <v>160363576</v>
      </c>
      <c r="G104" s="101">
        <v>228727169</v>
      </c>
      <c r="H104" s="97">
        <v>1409</v>
      </c>
      <c r="I104" s="101">
        <v>25597630</v>
      </c>
      <c r="J104" s="101">
        <v>275949897</v>
      </c>
      <c r="K104" s="101">
        <v>301547527</v>
      </c>
      <c r="L104" s="97">
        <v>1527</v>
      </c>
      <c r="M104" s="101">
        <v>21436332</v>
      </c>
      <c r="N104" s="101">
        <v>312938693</v>
      </c>
      <c r="O104" s="101">
        <v>334375025</v>
      </c>
      <c r="P104" s="97">
        <v>1529</v>
      </c>
    </row>
    <row r="105" spans="1:16">
      <c r="A105" s="85" t="s">
        <v>56</v>
      </c>
      <c r="B105" s="89"/>
      <c r="C105" s="76">
        <v>7</v>
      </c>
      <c r="D105" s="76">
        <v>9</v>
      </c>
      <c r="E105" s="100">
        <v>299026551</v>
      </c>
      <c r="F105" s="100">
        <v>276947618</v>
      </c>
      <c r="G105" s="100">
        <v>575974169</v>
      </c>
      <c r="H105" s="96">
        <v>1374</v>
      </c>
      <c r="I105" s="100">
        <v>82475367</v>
      </c>
      <c r="J105" s="100">
        <v>498223362</v>
      </c>
      <c r="K105" s="100">
        <v>580698729</v>
      </c>
      <c r="L105" s="96">
        <v>1449</v>
      </c>
      <c r="M105" s="100">
        <v>29519496</v>
      </c>
      <c r="N105" s="100">
        <v>532640530</v>
      </c>
      <c r="O105" s="100">
        <v>562160026</v>
      </c>
      <c r="P105" s="96">
        <v>1451</v>
      </c>
    </row>
    <row r="106" spans="1:16">
      <c r="A106" s="86" t="s">
        <v>56</v>
      </c>
      <c r="B106" s="90"/>
      <c r="C106" s="77">
        <v>8</v>
      </c>
      <c r="D106" s="77">
        <v>1</v>
      </c>
      <c r="E106" s="101">
        <v>0</v>
      </c>
      <c r="F106" s="101">
        <v>21116</v>
      </c>
      <c r="G106" s="101">
        <v>21116</v>
      </c>
      <c r="H106" s="97">
        <v>5</v>
      </c>
      <c r="I106" s="101">
        <v>1222592</v>
      </c>
      <c r="J106" s="101">
        <v>171596</v>
      </c>
      <c r="K106" s="101">
        <v>1394188</v>
      </c>
      <c r="L106" s="97">
        <v>7</v>
      </c>
      <c r="M106" s="101">
        <v>5612146</v>
      </c>
      <c r="N106" s="101">
        <v>171596</v>
      </c>
      <c r="O106" s="101">
        <v>5783742</v>
      </c>
      <c r="P106" s="97">
        <v>11</v>
      </c>
    </row>
    <row r="107" spans="1:16">
      <c r="A107" s="85" t="s">
        <v>56</v>
      </c>
      <c r="B107" s="89"/>
      <c r="C107" s="76">
        <v>8</v>
      </c>
      <c r="D107" s="76">
        <v>2</v>
      </c>
      <c r="E107" s="100">
        <v>15781401</v>
      </c>
      <c r="F107" s="100">
        <v>2528536</v>
      </c>
      <c r="G107" s="100">
        <v>18309937</v>
      </c>
      <c r="H107" s="96">
        <v>104</v>
      </c>
      <c r="I107" s="100">
        <v>34613256</v>
      </c>
      <c r="J107" s="100">
        <v>8569431</v>
      </c>
      <c r="K107" s="100">
        <v>43182687</v>
      </c>
      <c r="L107" s="96">
        <v>125</v>
      </c>
      <c r="M107" s="100">
        <v>5893345</v>
      </c>
      <c r="N107" s="100">
        <v>12215022</v>
      </c>
      <c r="O107" s="100">
        <v>18108367</v>
      </c>
      <c r="P107" s="96">
        <v>131</v>
      </c>
    </row>
    <row r="108" spans="1:16">
      <c r="A108" s="86" t="s">
        <v>56</v>
      </c>
      <c r="B108" s="90"/>
      <c r="C108" s="77">
        <v>8</v>
      </c>
      <c r="D108" s="77">
        <v>3</v>
      </c>
      <c r="E108" s="101">
        <v>59412500</v>
      </c>
      <c r="F108" s="101">
        <v>43137866</v>
      </c>
      <c r="G108" s="101">
        <v>102550366</v>
      </c>
      <c r="H108" s="97">
        <v>2298</v>
      </c>
      <c r="I108" s="101">
        <v>33041695</v>
      </c>
      <c r="J108" s="101">
        <v>100250519</v>
      </c>
      <c r="K108" s="101">
        <v>133292214</v>
      </c>
      <c r="L108" s="97">
        <v>2474</v>
      </c>
      <c r="M108" s="101">
        <v>32390435</v>
      </c>
      <c r="N108" s="101">
        <v>118151037</v>
      </c>
      <c r="O108" s="101">
        <v>150541472</v>
      </c>
      <c r="P108" s="97">
        <v>2723</v>
      </c>
    </row>
    <row r="109" spans="1:16">
      <c r="A109" s="85" t="s">
        <v>56</v>
      </c>
      <c r="B109" s="89"/>
      <c r="C109" s="76">
        <v>8</v>
      </c>
      <c r="D109" s="76">
        <v>4</v>
      </c>
      <c r="E109" s="100">
        <v>4076060</v>
      </c>
      <c r="F109" s="100">
        <v>11841478</v>
      </c>
      <c r="G109" s="100">
        <v>15917538</v>
      </c>
      <c r="H109" s="96">
        <v>66</v>
      </c>
      <c r="I109" s="100">
        <v>1736171</v>
      </c>
      <c r="J109" s="100">
        <v>18727471</v>
      </c>
      <c r="K109" s="100">
        <v>20463642</v>
      </c>
      <c r="L109" s="96">
        <v>71</v>
      </c>
      <c r="M109" s="100">
        <v>71153</v>
      </c>
      <c r="N109" s="100">
        <v>19398280</v>
      </c>
      <c r="O109" s="100">
        <v>19469433</v>
      </c>
      <c r="P109" s="96">
        <v>71</v>
      </c>
    </row>
    <row r="110" spans="1:16">
      <c r="A110" s="86" t="s">
        <v>56</v>
      </c>
      <c r="B110" s="90"/>
      <c r="C110" s="77">
        <v>8</v>
      </c>
      <c r="D110" s="77">
        <v>5</v>
      </c>
      <c r="E110" s="101">
        <v>34597740</v>
      </c>
      <c r="F110" s="101">
        <v>22592792</v>
      </c>
      <c r="G110" s="101">
        <v>57190532</v>
      </c>
      <c r="H110" s="97">
        <v>19</v>
      </c>
      <c r="I110" s="101">
        <v>0</v>
      </c>
      <c r="J110" s="101">
        <v>56443444</v>
      </c>
      <c r="K110" s="101">
        <v>56443444</v>
      </c>
      <c r="L110" s="97">
        <v>19</v>
      </c>
      <c r="M110" s="101">
        <v>0</v>
      </c>
      <c r="N110" s="101">
        <v>56443444</v>
      </c>
      <c r="O110" s="101">
        <v>56443444</v>
      </c>
      <c r="P110" s="97">
        <v>19</v>
      </c>
    </row>
    <row r="111" spans="1:16">
      <c r="A111" s="85" t="s">
        <v>56</v>
      </c>
      <c r="B111" s="89"/>
      <c r="C111" s="76">
        <v>8</v>
      </c>
      <c r="D111" s="76">
        <v>6</v>
      </c>
      <c r="E111" s="100">
        <v>0</v>
      </c>
      <c r="F111" s="100">
        <v>0</v>
      </c>
      <c r="G111" s="100">
        <v>0</v>
      </c>
      <c r="H111" s="96">
        <v>0</v>
      </c>
      <c r="I111" s="100">
        <v>0</v>
      </c>
      <c r="J111" s="100">
        <v>0</v>
      </c>
      <c r="K111" s="100">
        <v>0</v>
      </c>
      <c r="L111" s="96">
        <v>0</v>
      </c>
      <c r="M111" s="100">
        <v>0</v>
      </c>
      <c r="N111" s="100">
        <v>0</v>
      </c>
      <c r="O111" s="100">
        <v>0</v>
      </c>
      <c r="P111" s="96">
        <v>0</v>
      </c>
    </row>
    <row r="112" spans="1:16">
      <c r="A112" s="86" t="s">
        <v>56</v>
      </c>
      <c r="B112" s="90"/>
      <c r="C112" s="77">
        <v>8</v>
      </c>
      <c r="D112" s="77">
        <v>7</v>
      </c>
      <c r="E112" s="101">
        <v>2700000</v>
      </c>
      <c r="F112" s="101">
        <v>4601620</v>
      </c>
      <c r="G112" s="101">
        <v>7301620</v>
      </c>
      <c r="H112" s="97">
        <v>4</v>
      </c>
      <c r="I112" s="101">
        <v>0</v>
      </c>
      <c r="J112" s="101">
        <v>4601620</v>
      </c>
      <c r="K112" s="101">
        <v>4601620</v>
      </c>
      <c r="L112" s="97">
        <v>4</v>
      </c>
      <c r="M112" s="101">
        <v>0</v>
      </c>
      <c r="N112" s="101">
        <v>4601620</v>
      </c>
      <c r="O112" s="101">
        <v>4601620</v>
      </c>
      <c r="P112" s="97">
        <v>4</v>
      </c>
    </row>
    <row r="113" spans="1:16">
      <c r="A113" s="85" t="s">
        <v>56</v>
      </c>
      <c r="B113" s="89"/>
      <c r="C113" s="76">
        <v>8</v>
      </c>
      <c r="D113" s="76">
        <v>8</v>
      </c>
      <c r="E113" s="100">
        <v>23399724</v>
      </c>
      <c r="F113" s="100">
        <v>25497418</v>
      </c>
      <c r="G113" s="100">
        <v>48897142</v>
      </c>
      <c r="H113" s="96">
        <v>146</v>
      </c>
      <c r="I113" s="100">
        <v>4288570</v>
      </c>
      <c r="J113" s="100">
        <v>57606075</v>
      </c>
      <c r="K113" s="100">
        <v>61894645</v>
      </c>
      <c r="L113" s="96">
        <v>161</v>
      </c>
      <c r="M113" s="100">
        <v>0</v>
      </c>
      <c r="N113" s="100">
        <v>57984608</v>
      </c>
      <c r="O113" s="100">
        <v>57984608</v>
      </c>
      <c r="P113" s="96">
        <v>161</v>
      </c>
    </row>
    <row r="114" spans="1:16">
      <c r="A114" s="86" t="s">
        <v>56</v>
      </c>
      <c r="B114" s="90"/>
      <c r="C114" s="77">
        <v>8</v>
      </c>
      <c r="D114" s="77">
        <v>9</v>
      </c>
      <c r="E114" s="101">
        <v>41321900</v>
      </c>
      <c r="F114" s="101">
        <v>21187957</v>
      </c>
      <c r="G114" s="101">
        <v>62509857</v>
      </c>
      <c r="H114" s="97">
        <v>13</v>
      </c>
      <c r="I114" s="101">
        <v>15620</v>
      </c>
      <c r="J114" s="101">
        <v>85635389</v>
      </c>
      <c r="K114" s="101">
        <v>85651009</v>
      </c>
      <c r="L114" s="97">
        <v>15</v>
      </c>
      <c r="M114" s="101">
        <v>0</v>
      </c>
      <c r="N114" s="101">
        <v>85635389</v>
      </c>
      <c r="O114" s="101">
        <v>85635389</v>
      </c>
      <c r="P114" s="97">
        <v>15</v>
      </c>
    </row>
    <row r="115" spans="1:16">
      <c r="A115" s="85" t="s">
        <v>56</v>
      </c>
      <c r="B115" s="89"/>
      <c r="C115" s="76">
        <v>9</v>
      </c>
      <c r="D115" s="76">
        <v>1</v>
      </c>
      <c r="E115" s="100">
        <v>450964</v>
      </c>
      <c r="F115" s="100">
        <v>8800</v>
      </c>
      <c r="G115" s="100">
        <v>459764</v>
      </c>
      <c r="H115" s="96">
        <v>9</v>
      </c>
      <c r="I115" s="100">
        <v>281924</v>
      </c>
      <c r="J115" s="100">
        <v>2671539</v>
      </c>
      <c r="K115" s="100">
        <v>2953463</v>
      </c>
      <c r="L115" s="96">
        <v>11</v>
      </c>
      <c r="M115" s="100">
        <v>0</v>
      </c>
      <c r="N115" s="100">
        <v>2671539</v>
      </c>
      <c r="O115" s="100">
        <v>2671539</v>
      </c>
      <c r="P115" s="96">
        <v>11</v>
      </c>
    </row>
    <row r="116" spans="1:16">
      <c r="A116" s="86" t="s">
        <v>56</v>
      </c>
      <c r="B116" s="90"/>
      <c r="C116" s="77">
        <v>9</v>
      </c>
      <c r="D116" s="77">
        <v>2</v>
      </c>
      <c r="E116" s="101">
        <v>47785919</v>
      </c>
      <c r="F116" s="101">
        <v>10765735</v>
      </c>
      <c r="G116" s="101">
        <v>58551654</v>
      </c>
      <c r="H116" s="97">
        <v>167</v>
      </c>
      <c r="I116" s="101">
        <v>61859546</v>
      </c>
      <c r="J116" s="101">
        <v>63307080</v>
      </c>
      <c r="K116" s="101">
        <v>125166626</v>
      </c>
      <c r="L116" s="97">
        <v>179</v>
      </c>
      <c r="M116" s="101">
        <v>507251106</v>
      </c>
      <c r="N116" s="101">
        <v>242095026</v>
      </c>
      <c r="O116" s="101">
        <v>749346132</v>
      </c>
      <c r="P116" s="97">
        <v>185</v>
      </c>
    </row>
    <row r="117" spans="1:16">
      <c r="A117" s="85" t="s">
        <v>56</v>
      </c>
      <c r="B117" s="89"/>
      <c r="C117" s="76">
        <v>9</v>
      </c>
      <c r="D117" s="76">
        <v>3</v>
      </c>
      <c r="E117" s="100">
        <v>202843080</v>
      </c>
      <c r="F117" s="100">
        <v>391472776</v>
      </c>
      <c r="G117" s="100">
        <v>594315856</v>
      </c>
      <c r="H117" s="96">
        <v>2966</v>
      </c>
      <c r="I117" s="100">
        <v>62124236</v>
      </c>
      <c r="J117" s="100">
        <v>706736434</v>
      </c>
      <c r="K117" s="100">
        <v>768860670</v>
      </c>
      <c r="L117" s="96">
        <v>3115</v>
      </c>
      <c r="M117" s="100">
        <v>84842901</v>
      </c>
      <c r="N117" s="100">
        <v>763573793</v>
      </c>
      <c r="O117" s="100">
        <v>848416694</v>
      </c>
      <c r="P117" s="96">
        <v>3183</v>
      </c>
    </row>
    <row r="118" spans="1:16">
      <c r="A118" s="86" t="s">
        <v>56</v>
      </c>
      <c r="B118" s="90"/>
      <c r="C118" s="77">
        <v>9</v>
      </c>
      <c r="D118" s="77">
        <v>4</v>
      </c>
      <c r="E118" s="101">
        <v>2800367</v>
      </c>
      <c r="F118" s="101">
        <v>17990952</v>
      </c>
      <c r="G118" s="101">
        <v>20791319</v>
      </c>
      <c r="H118" s="97">
        <v>49</v>
      </c>
      <c r="I118" s="101">
        <v>2203118</v>
      </c>
      <c r="J118" s="101">
        <v>20061498</v>
      </c>
      <c r="K118" s="101">
        <v>22264616</v>
      </c>
      <c r="L118" s="97">
        <v>53</v>
      </c>
      <c r="M118" s="101">
        <v>0</v>
      </c>
      <c r="N118" s="101">
        <v>28367687</v>
      </c>
      <c r="O118" s="101">
        <v>28367687</v>
      </c>
      <c r="P118" s="97">
        <v>53</v>
      </c>
    </row>
    <row r="119" spans="1:16">
      <c r="A119" s="85" t="s">
        <v>56</v>
      </c>
      <c r="B119" s="89"/>
      <c r="C119" s="76">
        <v>9</v>
      </c>
      <c r="D119" s="76">
        <v>5</v>
      </c>
      <c r="E119" s="100">
        <v>25458992</v>
      </c>
      <c r="F119" s="100">
        <v>5384229</v>
      </c>
      <c r="G119" s="100">
        <v>30843221</v>
      </c>
      <c r="H119" s="96">
        <v>9</v>
      </c>
      <c r="I119" s="100">
        <v>0</v>
      </c>
      <c r="J119" s="100">
        <v>16292569</v>
      </c>
      <c r="K119" s="100">
        <v>16292569</v>
      </c>
      <c r="L119" s="96">
        <v>9</v>
      </c>
      <c r="M119" s="100">
        <v>0</v>
      </c>
      <c r="N119" s="100">
        <v>27425901</v>
      </c>
      <c r="O119" s="100">
        <v>27425901</v>
      </c>
      <c r="P119" s="96">
        <v>9</v>
      </c>
    </row>
    <row r="120" spans="1:16">
      <c r="A120" s="86" t="s">
        <v>56</v>
      </c>
      <c r="B120" s="90"/>
      <c r="C120" s="77">
        <v>9</v>
      </c>
      <c r="D120" s="77">
        <v>6</v>
      </c>
      <c r="E120" s="101">
        <v>94758161</v>
      </c>
      <c r="F120" s="101">
        <v>120789115</v>
      </c>
      <c r="G120" s="101">
        <v>215547276</v>
      </c>
      <c r="H120" s="97">
        <v>99</v>
      </c>
      <c r="I120" s="101">
        <v>2532584</v>
      </c>
      <c r="J120" s="101">
        <v>149857823</v>
      </c>
      <c r="K120" s="101">
        <v>152390407</v>
      </c>
      <c r="L120" s="97">
        <v>102</v>
      </c>
      <c r="M120" s="101">
        <v>0</v>
      </c>
      <c r="N120" s="101">
        <v>177670169</v>
      </c>
      <c r="O120" s="101">
        <v>177670169</v>
      </c>
      <c r="P120" s="97">
        <v>102</v>
      </c>
    </row>
    <row r="121" spans="1:16">
      <c r="A121" s="85" t="s">
        <v>56</v>
      </c>
      <c r="B121" s="89"/>
      <c r="C121" s="76">
        <v>9</v>
      </c>
      <c r="D121" s="76">
        <v>7</v>
      </c>
      <c r="E121" s="100">
        <v>870714380</v>
      </c>
      <c r="F121" s="100">
        <v>1087989893</v>
      </c>
      <c r="G121" s="100">
        <v>1958704273</v>
      </c>
      <c r="H121" s="96">
        <v>60</v>
      </c>
      <c r="I121" s="100">
        <v>68880819</v>
      </c>
      <c r="J121" s="100">
        <v>1482573162</v>
      </c>
      <c r="K121" s="100">
        <v>1551453981</v>
      </c>
      <c r="L121" s="96">
        <v>61</v>
      </c>
      <c r="M121" s="100">
        <v>14339154</v>
      </c>
      <c r="N121" s="100">
        <v>1482629262</v>
      </c>
      <c r="O121" s="100">
        <v>1496968416</v>
      </c>
      <c r="P121" s="96">
        <v>61</v>
      </c>
    </row>
    <row r="122" spans="1:16">
      <c r="A122" s="86" t="s">
        <v>56</v>
      </c>
      <c r="B122" s="90"/>
      <c r="C122" s="77">
        <v>9</v>
      </c>
      <c r="D122" s="77">
        <v>8</v>
      </c>
      <c r="E122" s="101">
        <v>11203070</v>
      </c>
      <c r="F122" s="101">
        <v>2196143</v>
      </c>
      <c r="G122" s="101">
        <v>13399213</v>
      </c>
      <c r="H122" s="97">
        <v>134</v>
      </c>
      <c r="I122" s="101">
        <v>9340972</v>
      </c>
      <c r="J122" s="101">
        <v>36138038</v>
      </c>
      <c r="K122" s="101">
        <v>45479010</v>
      </c>
      <c r="L122" s="97">
        <v>160</v>
      </c>
      <c r="M122" s="101">
        <v>0</v>
      </c>
      <c r="N122" s="101">
        <v>37463771</v>
      </c>
      <c r="O122" s="101">
        <v>37463771</v>
      </c>
      <c r="P122" s="97">
        <v>161</v>
      </c>
    </row>
    <row r="123" spans="1:16">
      <c r="A123" s="85" t="s">
        <v>56</v>
      </c>
      <c r="B123" s="89"/>
      <c r="C123" s="76">
        <v>9</v>
      </c>
      <c r="D123" s="76">
        <v>9</v>
      </c>
      <c r="E123" s="100">
        <v>310711994</v>
      </c>
      <c r="F123" s="100">
        <v>2098610</v>
      </c>
      <c r="G123" s="100">
        <v>312810604</v>
      </c>
      <c r="H123" s="96">
        <v>28</v>
      </c>
      <c r="I123" s="100">
        <v>266733777</v>
      </c>
      <c r="J123" s="100">
        <v>4798030</v>
      </c>
      <c r="K123" s="100">
        <v>271531807</v>
      </c>
      <c r="L123" s="96">
        <v>28</v>
      </c>
      <c r="M123" s="100">
        <v>0</v>
      </c>
      <c r="N123" s="100">
        <v>5910030</v>
      </c>
      <c r="O123" s="100">
        <v>5910030</v>
      </c>
      <c r="P123" s="96">
        <v>28</v>
      </c>
    </row>
    <row r="124" spans="1:16">
      <c r="A124" s="86" t="s">
        <v>56</v>
      </c>
      <c r="B124" s="90"/>
      <c r="C124" s="77">
        <v>10</v>
      </c>
      <c r="D124" s="77">
        <v>1</v>
      </c>
      <c r="E124" s="101">
        <v>5387381</v>
      </c>
      <c r="F124" s="101">
        <v>162720</v>
      </c>
      <c r="G124" s="101">
        <v>5550101</v>
      </c>
      <c r="H124" s="97">
        <v>46</v>
      </c>
      <c r="I124" s="101">
        <v>16302315</v>
      </c>
      <c r="J124" s="101">
        <v>601835</v>
      </c>
      <c r="K124" s="101">
        <v>16904150</v>
      </c>
      <c r="L124" s="97">
        <v>50</v>
      </c>
      <c r="M124" s="101">
        <v>29899550</v>
      </c>
      <c r="N124" s="101">
        <v>44881835</v>
      </c>
      <c r="O124" s="101">
        <v>74781385</v>
      </c>
      <c r="P124" s="97">
        <v>65</v>
      </c>
    </row>
    <row r="125" spans="1:16">
      <c r="A125" s="85" t="s">
        <v>56</v>
      </c>
      <c r="B125" s="89"/>
      <c r="C125" s="76">
        <v>10</v>
      </c>
      <c r="D125" s="76">
        <v>2</v>
      </c>
      <c r="E125" s="100">
        <v>255306895</v>
      </c>
      <c r="F125" s="100">
        <v>41275999</v>
      </c>
      <c r="G125" s="100">
        <v>296582894</v>
      </c>
      <c r="H125" s="96">
        <v>808</v>
      </c>
      <c r="I125" s="100">
        <v>520705424</v>
      </c>
      <c r="J125" s="100">
        <v>205528737</v>
      </c>
      <c r="K125" s="100">
        <v>726234161</v>
      </c>
      <c r="L125" s="96">
        <v>919</v>
      </c>
      <c r="M125" s="100">
        <v>728751302</v>
      </c>
      <c r="N125" s="100">
        <v>376373524</v>
      </c>
      <c r="O125" s="100">
        <v>1105124826</v>
      </c>
      <c r="P125" s="96">
        <v>1012</v>
      </c>
    </row>
    <row r="126" spans="1:16">
      <c r="A126" s="86" t="s">
        <v>56</v>
      </c>
      <c r="B126" s="90"/>
      <c r="C126" s="77">
        <v>10</v>
      </c>
      <c r="D126" s="77">
        <v>3</v>
      </c>
      <c r="E126" s="101">
        <v>695289844</v>
      </c>
      <c r="F126" s="101">
        <v>499307761</v>
      </c>
      <c r="G126" s="101">
        <v>1194597605</v>
      </c>
      <c r="H126" s="97">
        <v>17062</v>
      </c>
      <c r="I126" s="101">
        <v>277673495</v>
      </c>
      <c r="J126" s="101">
        <v>972373188</v>
      </c>
      <c r="K126" s="101">
        <v>1250046683</v>
      </c>
      <c r="L126" s="97">
        <v>18053</v>
      </c>
      <c r="M126" s="101">
        <v>496179486</v>
      </c>
      <c r="N126" s="101">
        <v>1088359358</v>
      </c>
      <c r="O126" s="101">
        <v>1584538844</v>
      </c>
      <c r="P126" s="97">
        <v>19259</v>
      </c>
    </row>
    <row r="127" spans="1:16">
      <c r="A127" s="85" t="s">
        <v>56</v>
      </c>
      <c r="B127" s="89"/>
      <c r="C127" s="76">
        <v>10</v>
      </c>
      <c r="D127" s="76">
        <v>4</v>
      </c>
      <c r="E127" s="100">
        <v>30269589</v>
      </c>
      <c r="F127" s="100">
        <v>170110697</v>
      </c>
      <c r="G127" s="100">
        <v>200380286</v>
      </c>
      <c r="H127" s="96">
        <v>613</v>
      </c>
      <c r="I127" s="100">
        <v>917060</v>
      </c>
      <c r="J127" s="100">
        <v>205069988</v>
      </c>
      <c r="K127" s="100">
        <v>205987048</v>
      </c>
      <c r="L127" s="96">
        <v>636</v>
      </c>
      <c r="M127" s="100">
        <v>0</v>
      </c>
      <c r="N127" s="100">
        <v>207483230</v>
      </c>
      <c r="O127" s="100">
        <v>207483230</v>
      </c>
      <c r="P127" s="96">
        <v>637</v>
      </c>
    </row>
    <row r="128" spans="1:16">
      <c r="A128" s="86" t="s">
        <v>56</v>
      </c>
      <c r="B128" s="90"/>
      <c r="C128" s="77">
        <v>10</v>
      </c>
      <c r="D128" s="77">
        <v>5</v>
      </c>
      <c r="E128" s="101">
        <v>135294565</v>
      </c>
      <c r="F128" s="101">
        <v>212246245</v>
      </c>
      <c r="G128" s="101">
        <v>347540810</v>
      </c>
      <c r="H128" s="97">
        <v>71</v>
      </c>
      <c r="I128" s="101">
        <v>2340000</v>
      </c>
      <c r="J128" s="101">
        <v>280653637</v>
      </c>
      <c r="K128" s="101">
        <v>282993637</v>
      </c>
      <c r="L128" s="97">
        <v>80</v>
      </c>
      <c r="M128" s="101">
        <v>0</v>
      </c>
      <c r="N128" s="101">
        <v>280752871</v>
      </c>
      <c r="O128" s="101">
        <v>280752871</v>
      </c>
      <c r="P128" s="97">
        <v>81</v>
      </c>
    </row>
    <row r="129" spans="1:16">
      <c r="A129" s="85" t="s">
        <v>56</v>
      </c>
      <c r="B129" s="89"/>
      <c r="C129" s="76">
        <v>10</v>
      </c>
      <c r="D129" s="76">
        <v>6</v>
      </c>
      <c r="E129" s="100">
        <v>3314731</v>
      </c>
      <c r="F129" s="100">
        <v>16789281</v>
      </c>
      <c r="G129" s="100">
        <v>20104012</v>
      </c>
      <c r="H129" s="96">
        <v>29</v>
      </c>
      <c r="I129" s="100">
        <v>0</v>
      </c>
      <c r="J129" s="100">
        <v>17784967</v>
      </c>
      <c r="K129" s="100">
        <v>17784967</v>
      </c>
      <c r="L129" s="96">
        <v>34</v>
      </c>
      <c r="M129" s="100">
        <v>0</v>
      </c>
      <c r="N129" s="100">
        <v>17784967</v>
      </c>
      <c r="O129" s="100">
        <v>17784967</v>
      </c>
      <c r="P129" s="96">
        <v>34</v>
      </c>
    </row>
    <row r="130" spans="1:16">
      <c r="A130" s="86" t="s">
        <v>56</v>
      </c>
      <c r="B130" s="90"/>
      <c r="C130" s="77">
        <v>10</v>
      </c>
      <c r="D130" s="77">
        <v>7</v>
      </c>
      <c r="E130" s="101">
        <v>132041058</v>
      </c>
      <c r="F130" s="101">
        <v>195756423</v>
      </c>
      <c r="G130" s="101">
        <v>327797481</v>
      </c>
      <c r="H130" s="97">
        <v>74</v>
      </c>
      <c r="I130" s="101">
        <v>15883514</v>
      </c>
      <c r="J130" s="101">
        <v>233670090</v>
      </c>
      <c r="K130" s="101">
        <v>249553604</v>
      </c>
      <c r="L130" s="97">
        <v>76</v>
      </c>
      <c r="M130" s="101">
        <v>2757741</v>
      </c>
      <c r="N130" s="101">
        <v>233670090</v>
      </c>
      <c r="O130" s="101">
        <v>236427831</v>
      </c>
      <c r="P130" s="97">
        <v>76</v>
      </c>
    </row>
    <row r="131" spans="1:16">
      <c r="A131" s="85" t="s">
        <v>56</v>
      </c>
      <c r="B131" s="89"/>
      <c r="C131" s="76">
        <v>10</v>
      </c>
      <c r="D131" s="76">
        <v>8</v>
      </c>
      <c r="E131" s="100">
        <v>73115419</v>
      </c>
      <c r="F131" s="100">
        <v>215702667</v>
      </c>
      <c r="G131" s="100">
        <v>288818086</v>
      </c>
      <c r="H131" s="96">
        <v>1195</v>
      </c>
      <c r="I131" s="100">
        <v>7570910</v>
      </c>
      <c r="J131" s="100">
        <v>308826008</v>
      </c>
      <c r="K131" s="100">
        <v>316396918</v>
      </c>
      <c r="L131" s="96">
        <v>1246</v>
      </c>
      <c r="M131" s="100">
        <v>3070585</v>
      </c>
      <c r="N131" s="100">
        <v>318335891</v>
      </c>
      <c r="O131" s="100">
        <v>321406476</v>
      </c>
      <c r="P131" s="96">
        <v>1250</v>
      </c>
    </row>
    <row r="132" spans="1:16">
      <c r="A132" s="86" t="s">
        <v>56</v>
      </c>
      <c r="B132" s="90"/>
      <c r="C132" s="77">
        <v>10</v>
      </c>
      <c r="D132" s="77">
        <v>9</v>
      </c>
      <c r="E132" s="101">
        <v>651207263</v>
      </c>
      <c r="F132" s="101">
        <v>595077926</v>
      </c>
      <c r="G132" s="101">
        <v>1246285189</v>
      </c>
      <c r="H132" s="97">
        <v>294</v>
      </c>
      <c r="I132" s="101">
        <v>64609595</v>
      </c>
      <c r="J132" s="101">
        <v>927786313</v>
      </c>
      <c r="K132" s="101">
        <v>992395908</v>
      </c>
      <c r="L132" s="97">
        <v>319</v>
      </c>
      <c r="M132" s="101">
        <v>18151718</v>
      </c>
      <c r="N132" s="101">
        <v>930705713</v>
      </c>
      <c r="O132" s="101">
        <v>948857431</v>
      </c>
      <c r="P132" s="97">
        <v>324</v>
      </c>
    </row>
    <row r="133" spans="1:16">
      <c r="A133" s="85" t="s">
        <v>56</v>
      </c>
      <c r="B133" s="89"/>
      <c r="C133" s="76">
        <v>20</v>
      </c>
      <c r="D133" s="76">
        <v>1</v>
      </c>
      <c r="E133" s="100">
        <v>3128575</v>
      </c>
      <c r="F133" s="100">
        <v>55161</v>
      </c>
      <c r="G133" s="100">
        <v>3183736</v>
      </c>
      <c r="H133" s="96">
        <v>170</v>
      </c>
      <c r="I133" s="100">
        <v>29402181</v>
      </c>
      <c r="J133" s="100">
        <v>64958</v>
      </c>
      <c r="K133" s="100">
        <v>29467139</v>
      </c>
      <c r="L133" s="96">
        <v>174</v>
      </c>
      <c r="M133" s="100">
        <v>2632500</v>
      </c>
      <c r="N133" s="100">
        <v>64958</v>
      </c>
      <c r="O133" s="100">
        <v>2697458</v>
      </c>
      <c r="P133" s="96">
        <v>318</v>
      </c>
    </row>
    <row r="134" spans="1:16">
      <c r="A134" s="86" t="s">
        <v>56</v>
      </c>
      <c r="B134" s="90"/>
      <c r="C134" s="77">
        <v>20</v>
      </c>
      <c r="D134" s="77">
        <v>2</v>
      </c>
      <c r="E134" s="101">
        <v>41500807</v>
      </c>
      <c r="F134" s="101">
        <v>14526352</v>
      </c>
      <c r="G134" s="101">
        <v>56027159</v>
      </c>
      <c r="H134" s="97">
        <v>609</v>
      </c>
      <c r="I134" s="101">
        <v>452447626</v>
      </c>
      <c r="J134" s="101">
        <v>55154088</v>
      </c>
      <c r="K134" s="101">
        <v>507601714</v>
      </c>
      <c r="L134" s="97">
        <v>737</v>
      </c>
      <c r="M134" s="101">
        <v>275435809</v>
      </c>
      <c r="N134" s="101">
        <v>157022440</v>
      </c>
      <c r="O134" s="101">
        <v>432458249</v>
      </c>
      <c r="P134" s="97">
        <v>891</v>
      </c>
    </row>
    <row r="135" spans="1:16">
      <c r="A135" s="85" t="s">
        <v>56</v>
      </c>
      <c r="B135" s="89"/>
      <c r="C135" s="76">
        <v>20</v>
      </c>
      <c r="D135" s="76">
        <v>3</v>
      </c>
      <c r="E135" s="100">
        <v>62738025</v>
      </c>
      <c r="F135" s="100">
        <v>53784608</v>
      </c>
      <c r="G135" s="100">
        <v>116522633</v>
      </c>
      <c r="H135" s="96">
        <v>6254</v>
      </c>
      <c r="I135" s="100">
        <v>47815669</v>
      </c>
      <c r="J135" s="100">
        <v>91170812</v>
      </c>
      <c r="K135" s="100">
        <v>138986481</v>
      </c>
      <c r="L135" s="96">
        <v>6626</v>
      </c>
      <c r="M135" s="100">
        <v>75176783</v>
      </c>
      <c r="N135" s="100">
        <v>131454284</v>
      </c>
      <c r="O135" s="100">
        <v>206631067</v>
      </c>
      <c r="P135" s="96">
        <v>10536</v>
      </c>
    </row>
    <row r="136" spans="1:16">
      <c r="A136" s="86" t="s">
        <v>56</v>
      </c>
      <c r="B136" s="90"/>
      <c r="C136" s="77">
        <v>20</v>
      </c>
      <c r="D136" s="77">
        <v>4</v>
      </c>
      <c r="E136" s="101">
        <v>1048924</v>
      </c>
      <c r="F136" s="101">
        <v>8940321</v>
      </c>
      <c r="G136" s="101">
        <v>9989245</v>
      </c>
      <c r="H136" s="97">
        <v>360</v>
      </c>
      <c r="I136" s="101">
        <v>1515000</v>
      </c>
      <c r="J136" s="101">
        <v>9291457</v>
      </c>
      <c r="K136" s="101">
        <v>10806457</v>
      </c>
      <c r="L136" s="97">
        <v>451</v>
      </c>
      <c r="M136" s="101">
        <v>0</v>
      </c>
      <c r="N136" s="101">
        <v>9685567</v>
      </c>
      <c r="O136" s="101">
        <v>9685567</v>
      </c>
      <c r="P136" s="97">
        <v>453</v>
      </c>
    </row>
    <row r="137" spans="1:16">
      <c r="A137" s="85" t="s">
        <v>56</v>
      </c>
      <c r="B137" s="89"/>
      <c r="C137" s="76">
        <v>20</v>
      </c>
      <c r="D137" s="76">
        <v>5</v>
      </c>
      <c r="E137" s="100">
        <v>291329</v>
      </c>
      <c r="F137" s="100">
        <v>16700411</v>
      </c>
      <c r="G137" s="100">
        <v>16991740</v>
      </c>
      <c r="H137" s="96">
        <v>49</v>
      </c>
      <c r="I137" s="100">
        <v>0</v>
      </c>
      <c r="J137" s="100">
        <v>17079032</v>
      </c>
      <c r="K137" s="100">
        <v>17079032</v>
      </c>
      <c r="L137" s="96">
        <v>67</v>
      </c>
      <c r="M137" s="100">
        <v>0</v>
      </c>
      <c r="N137" s="100">
        <v>19373452</v>
      </c>
      <c r="O137" s="100">
        <v>19373452</v>
      </c>
      <c r="P137" s="96">
        <v>69</v>
      </c>
    </row>
    <row r="138" spans="1:16">
      <c r="A138" s="86" t="s">
        <v>56</v>
      </c>
      <c r="B138" s="90"/>
      <c r="C138" s="77">
        <v>20</v>
      </c>
      <c r="D138" s="77">
        <v>6</v>
      </c>
      <c r="E138" s="101">
        <v>69338</v>
      </c>
      <c r="F138" s="101">
        <v>1031519</v>
      </c>
      <c r="G138" s="101">
        <v>1100857</v>
      </c>
      <c r="H138" s="97">
        <v>12</v>
      </c>
      <c r="I138" s="101">
        <v>0</v>
      </c>
      <c r="J138" s="101">
        <v>1836240</v>
      </c>
      <c r="K138" s="101">
        <v>1836240</v>
      </c>
      <c r="L138" s="97">
        <v>13</v>
      </c>
      <c r="M138" s="101">
        <v>0</v>
      </c>
      <c r="N138" s="101">
        <v>1836240</v>
      </c>
      <c r="O138" s="101">
        <v>1836240</v>
      </c>
      <c r="P138" s="97">
        <v>13</v>
      </c>
    </row>
    <row r="139" spans="1:16">
      <c r="A139" s="85" t="s">
        <v>56</v>
      </c>
      <c r="B139" s="89"/>
      <c r="C139" s="76">
        <v>20</v>
      </c>
      <c r="D139" s="76">
        <v>7</v>
      </c>
      <c r="E139" s="100">
        <v>2045400</v>
      </c>
      <c r="F139" s="100">
        <v>2144066</v>
      </c>
      <c r="G139" s="100">
        <v>4189466</v>
      </c>
      <c r="H139" s="96">
        <v>8</v>
      </c>
      <c r="I139" s="100">
        <v>2045400</v>
      </c>
      <c r="J139" s="100">
        <v>2198366</v>
      </c>
      <c r="K139" s="100">
        <v>4243766</v>
      </c>
      <c r="L139" s="96">
        <v>10</v>
      </c>
      <c r="M139" s="100">
        <v>0</v>
      </c>
      <c r="N139" s="100">
        <v>2198366</v>
      </c>
      <c r="O139" s="100">
        <v>2198366</v>
      </c>
      <c r="P139" s="96">
        <v>10</v>
      </c>
    </row>
    <row r="140" spans="1:16">
      <c r="A140" s="86" t="s">
        <v>56</v>
      </c>
      <c r="B140" s="90"/>
      <c r="C140" s="77">
        <v>20</v>
      </c>
      <c r="D140" s="77">
        <v>8</v>
      </c>
      <c r="E140" s="101">
        <v>18266217</v>
      </c>
      <c r="F140" s="101">
        <v>36233775</v>
      </c>
      <c r="G140" s="101">
        <v>54499992</v>
      </c>
      <c r="H140" s="97">
        <v>775</v>
      </c>
      <c r="I140" s="101">
        <v>50600</v>
      </c>
      <c r="J140" s="101">
        <v>53105810</v>
      </c>
      <c r="K140" s="101">
        <v>53156410</v>
      </c>
      <c r="L140" s="97">
        <v>939</v>
      </c>
      <c r="M140" s="101">
        <v>0</v>
      </c>
      <c r="N140" s="101">
        <v>53309760</v>
      </c>
      <c r="O140" s="101">
        <v>53309760</v>
      </c>
      <c r="P140" s="97">
        <v>940</v>
      </c>
    </row>
    <row r="141" spans="1:16">
      <c r="A141" s="85" t="s">
        <v>56</v>
      </c>
      <c r="B141" s="89"/>
      <c r="C141" s="76">
        <v>20</v>
      </c>
      <c r="D141" s="76">
        <v>9</v>
      </c>
      <c r="E141" s="100">
        <v>11015124</v>
      </c>
      <c r="F141" s="100">
        <v>26889849</v>
      </c>
      <c r="G141" s="100">
        <v>37904973</v>
      </c>
      <c r="H141" s="96">
        <v>51</v>
      </c>
      <c r="I141" s="100">
        <v>705400</v>
      </c>
      <c r="J141" s="100">
        <v>44166342</v>
      </c>
      <c r="K141" s="100">
        <v>44871742</v>
      </c>
      <c r="L141" s="96">
        <v>78</v>
      </c>
      <c r="M141" s="100">
        <v>29185830</v>
      </c>
      <c r="N141" s="100">
        <v>44166342</v>
      </c>
      <c r="O141" s="100">
        <v>73352172</v>
      </c>
      <c r="P141" s="96">
        <v>84</v>
      </c>
    </row>
    <row r="142" spans="1:16">
      <c r="A142" s="86" t="s">
        <v>56</v>
      </c>
      <c r="B142" s="90"/>
      <c r="C142" s="77">
        <v>21</v>
      </c>
      <c r="D142" s="77">
        <v>1</v>
      </c>
      <c r="E142" s="101">
        <v>63751329</v>
      </c>
      <c r="F142" s="101">
        <v>31282413</v>
      </c>
      <c r="G142" s="101">
        <v>95033742</v>
      </c>
      <c r="H142" s="97">
        <v>563</v>
      </c>
      <c r="I142" s="101">
        <v>117306856</v>
      </c>
      <c r="J142" s="101">
        <v>72480743</v>
      </c>
      <c r="K142" s="101">
        <v>189787599</v>
      </c>
      <c r="L142" s="97">
        <v>576</v>
      </c>
      <c r="M142" s="101">
        <v>212046775</v>
      </c>
      <c r="N142" s="101">
        <v>237552855</v>
      </c>
      <c r="O142" s="101">
        <v>449599630</v>
      </c>
      <c r="P142" s="97">
        <v>610</v>
      </c>
    </row>
    <row r="143" spans="1:16">
      <c r="A143" s="85" t="s">
        <v>56</v>
      </c>
      <c r="B143" s="89"/>
      <c r="C143" s="76">
        <v>21</v>
      </c>
      <c r="D143" s="76">
        <v>2</v>
      </c>
      <c r="E143" s="100">
        <v>74384962</v>
      </c>
      <c r="F143" s="100">
        <v>12394860</v>
      </c>
      <c r="G143" s="100">
        <v>86779822</v>
      </c>
      <c r="H143" s="96">
        <v>728</v>
      </c>
      <c r="I143" s="100">
        <v>225180622</v>
      </c>
      <c r="J143" s="100">
        <v>17440225</v>
      </c>
      <c r="K143" s="100">
        <v>242620847</v>
      </c>
      <c r="L143" s="96">
        <v>773</v>
      </c>
      <c r="M143" s="100">
        <v>275496743</v>
      </c>
      <c r="N143" s="100">
        <v>213207415</v>
      </c>
      <c r="O143" s="100">
        <v>488704158</v>
      </c>
      <c r="P143" s="96">
        <v>830</v>
      </c>
    </row>
    <row r="144" spans="1:16">
      <c r="A144" s="86" t="s">
        <v>56</v>
      </c>
      <c r="B144" s="90"/>
      <c r="C144" s="77">
        <v>21</v>
      </c>
      <c r="D144" s="77">
        <v>3</v>
      </c>
      <c r="E144" s="101">
        <v>108140643</v>
      </c>
      <c r="F144" s="101">
        <v>53137420</v>
      </c>
      <c r="G144" s="101">
        <v>161278063</v>
      </c>
      <c r="H144" s="97">
        <v>3143</v>
      </c>
      <c r="I144" s="101">
        <v>64899201</v>
      </c>
      <c r="J144" s="101">
        <v>96161773</v>
      </c>
      <c r="K144" s="101">
        <v>161060974</v>
      </c>
      <c r="L144" s="97">
        <v>3310</v>
      </c>
      <c r="M144" s="101">
        <v>100491875</v>
      </c>
      <c r="N144" s="101">
        <v>110458136</v>
      </c>
      <c r="O144" s="101">
        <v>210950011</v>
      </c>
      <c r="P144" s="97">
        <v>4449</v>
      </c>
    </row>
    <row r="145" spans="1:16">
      <c r="A145" s="85" t="s">
        <v>56</v>
      </c>
      <c r="B145" s="89"/>
      <c r="C145" s="76">
        <v>21</v>
      </c>
      <c r="D145" s="76">
        <v>4</v>
      </c>
      <c r="E145" s="100">
        <v>5974672</v>
      </c>
      <c r="F145" s="100">
        <v>18497847</v>
      </c>
      <c r="G145" s="100">
        <v>24472519</v>
      </c>
      <c r="H145" s="96">
        <v>183</v>
      </c>
      <c r="I145" s="100">
        <v>55000</v>
      </c>
      <c r="J145" s="100">
        <v>23874065</v>
      </c>
      <c r="K145" s="100">
        <v>23929065</v>
      </c>
      <c r="L145" s="96">
        <v>192</v>
      </c>
      <c r="M145" s="100">
        <v>0</v>
      </c>
      <c r="N145" s="100">
        <v>23874065</v>
      </c>
      <c r="O145" s="100">
        <v>23874065</v>
      </c>
      <c r="P145" s="96">
        <v>192</v>
      </c>
    </row>
    <row r="146" spans="1:16">
      <c r="A146" s="86" t="s">
        <v>56</v>
      </c>
      <c r="B146" s="90"/>
      <c r="C146" s="77">
        <v>21</v>
      </c>
      <c r="D146" s="77">
        <v>5</v>
      </c>
      <c r="E146" s="101">
        <v>20205292</v>
      </c>
      <c r="F146" s="101">
        <v>41125196</v>
      </c>
      <c r="G146" s="101">
        <v>61330488</v>
      </c>
      <c r="H146" s="97">
        <v>24</v>
      </c>
      <c r="I146" s="101">
        <v>1753912</v>
      </c>
      <c r="J146" s="101">
        <v>54283292</v>
      </c>
      <c r="K146" s="101">
        <v>56037204</v>
      </c>
      <c r="L146" s="97">
        <v>29</v>
      </c>
      <c r="M146" s="101">
        <v>0</v>
      </c>
      <c r="N146" s="101">
        <v>54283292</v>
      </c>
      <c r="O146" s="101">
        <v>54283292</v>
      </c>
      <c r="P146" s="97">
        <v>29</v>
      </c>
    </row>
    <row r="147" spans="1:16">
      <c r="A147" s="85" t="s">
        <v>56</v>
      </c>
      <c r="B147" s="89"/>
      <c r="C147" s="76">
        <v>21</v>
      </c>
      <c r="D147" s="76">
        <v>6</v>
      </c>
      <c r="E147" s="100">
        <v>0</v>
      </c>
      <c r="F147" s="100">
        <v>0</v>
      </c>
      <c r="G147" s="100">
        <v>0</v>
      </c>
      <c r="H147" s="96">
        <v>0</v>
      </c>
      <c r="I147" s="100">
        <v>0</v>
      </c>
      <c r="J147" s="100">
        <v>0</v>
      </c>
      <c r="K147" s="100">
        <v>0</v>
      </c>
      <c r="L147" s="96">
        <v>1</v>
      </c>
      <c r="M147" s="100">
        <v>0</v>
      </c>
      <c r="N147" s="100">
        <v>0</v>
      </c>
      <c r="O147" s="100">
        <v>0</v>
      </c>
      <c r="P147" s="96">
        <v>1</v>
      </c>
    </row>
    <row r="148" spans="1:16">
      <c r="A148" s="86" t="s">
        <v>56</v>
      </c>
      <c r="B148" s="90"/>
      <c r="C148" s="77">
        <v>21</v>
      </c>
      <c r="D148" s="77">
        <v>7</v>
      </c>
      <c r="E148" s="101">
        <v>0</v>
      </c>
      <c r="F148" s="101">
        <v>4325860</v>
      </c>
      <c r="G148" s="101">
        <v>4325860</v>
      </c>
      <c r="H148" s="97">
        <v>4</v>
      </c>
      <c r="I148" s="101">
        <v>0</v>
      </c>
      <c r="J148" s="101">
        <v>4349730</v>
      </c>
      <c r="K148" s="101">
        <v>4349730</v>
      </c>
      <c r="L148" s="97">
        <v>5</v>
      </c>
      <c r="M148" s="101">
        <v>0</v>
      </c>
      <c r="N148" s="101">
        <v>4349730</v>
      </c>
      <c r="O148" s="101">
        <v>4349730</v>
      </c>
      <c r="P148" s="97">
        <v>5</v>
      </c>
    </row>
    <row r="149" spans="1:16">
      <c r="A149" s="85" t="s">
        <v>56</v>
      </c>
      <c r="B149" s="89"/>
      <c r="C149" s="76">
        <v>21</v>
      </c>
      <c r="D149" s="76">
        <v>8</v>
      </c>
      <c r="E149" s="100">
        <v>19046287</v>
      </c>
      <c r="F149" s="100">
        <v>32140677</v>
      </c>
      <c r="G149" s="100">
        <v>51186964</v>
      </c>
      <c r="H149" s="96">
        <v>512</v>
      </c>
      <c r="I149" s="100">
        <v>4995302</v>
      </c>
      <c r="J149" s="100">
        <v>57342106</v>
      </c>
      <c r="K149" s="100">
        <v>62337408</v>
      </c>
      <c r="L149" s="96">
        <v>560</v>
      </c>
      <c r="M149" s="100">
        <v>55000</v>
      </c>
      <c r="N149" s="100">
        <v>63072106</v>
      </c>
      <c r="O149" s="100">
        <v>63127106</v>
      </c>
      <c r="P149" s="96">
        <v>562</v>
      </c>
    </row>
    <row r="150" spans="1:16">
      <c r="A150" s="86" t="s">
        <v>56</v>
      </c>
      <c r="B150" s="90"/>
      <c r="C150" s="77">
        <v>21</v>
      </c>
      <c r="D150" s="77">
        <v>9</v>
      </c>
      <c r="E150" s="101">
        <v>7377604</v>
      </c>
      <c r="F150" s="101">
        <v>25382439</v>
      </c>
      <c r="G150" s="101">
        <v>32760043</v>
      </c>
      <c r="H150" s="97">
        <v>17</v>
      </c>
      <c r="I150" s="101">
        <v>12297501</v>
      </c>
      <c r="J150" s="101">
        <v>38424346</v>
      </c>
      <c r="K150" s="101">
        <v>50721847</v>
      </c>
      <c r="L150" s="97">
        <v>19</v>
      </c>
      <c r="M150" s="101">
        <v>0</v>
      </c>
      <c r="N150" s="101">
        <v>38464346</v>
      </c>
      <c r="O150" s="101">
        <v>38464346</v>
      </c>
      <c r="P150" s="97">
        <v>19</v>
      </c>
    </row>
    <row r="151" spans="1:16">
      <c r="A151" s="85" t="s">
        <v>56</v>
      </c>
      <c r="B151" s="89"/>
      <c r="C151" s="76" t="s">
        <v>16</v>
      </c>
      <c r="D151" s="76">
        <v>1</v>
      </c>
      <c r="E151" s="100">
        <v>2399723</v>
      </c>
      <c r="F151" s="100">
        <v>460502</v>
      </c>
      <c r="G151" s="100">
        <v>2860225</v>
      </c>
      <c r="H151" s="96">
        <v>83</v>
      </c>
      <c r="I151" s="100">
        <v>38192881</v>
      </c>
      <c r="J151" s="100">
        <v>549027</v>
      </c>
      <c r="K151" s="100">
        <v>38741908</v>
      </c>
      <c r="L151" s="96">
        <v>90</v>
      </c>
      <c r="M151" s="100">
        <v>6036538</v>
      </c>
      <c r="N151" s="100">
        <v>5278753</v>
      </c>
      <c r="O151" s="100">
        <v>11315291</v>
      </c>
      <c r="P151" s="96">
        <v>155</v>
      </c>
    </row>
    <row r="152" spans="1:16">
      <c r="A152" s="86" t="s">
        <v>56</v>
      </c>
      <c r="B152" s="90"/>
      <c r="C152" s="77" t="s">
        <v>16</v>
      </c>
      <c r="D152" s="77">
        <v>2</v>
      </c>
      <c r="E152" s="101">
        <v>12366854</v>
      </c>
      <c r="F152" s="101">
        <v>7074060</v>
      </c>
      <c r="G152" s="101">
        <v>19440914</v>
      </c>
      <c r="H152" s="97">
        <v>216</v>
      </c>
      <c r="I152" s="101">
        <v>201827612</v>
      </c>
      <c r="J152" s="101">
        <v>7395320</v>
      </c>
      <c r="K152" s="101">
        <v>209222932</v>
      </c>
      <c r="L152" s="97">
        <v>272</v>
      </c>
      <c r="M152" s="101">
        <v>116973930</v>
      </c>
      <c r="N152" s="101">
        <v>372275219</v>
      </c>
      <c r="O152" s="101">
        <v>489249149</v>
      </c>
      <c r="P152" s="97">
        <v>331</v>
      </c>
    </row>
    <row r="153" spans="1:16">
      <c r="A153" s="85" t="s">
        <v>56</v>
      </c>
      <c r="B153" s="89"/>
      <c r="C153" s="76" t="s">
        <v>16</v>
      </c>
      <c r="D153" s="76">
        <v>3</v>
      </c>
      <c r="E153" s="100">
        <v>36948298</v>
      </c>
      <c r="F153" s="100">
        <v>17751386</v>
      </c>
      <c r="G153" s="100">
        <v>54699684</v>
      </c>
      <c r="H153" s="96">
        <v>2217</v>
      </c>
      <c r="I153" s="100">
        <v>15114674</v>
      </c>
      <c r="J153" s="100">
        <v>20095840</v>
      </c>
      <c r="K153" s="100">
        <v>35210514</v>
      </c>
      <c r="L153" s="96">
        <v>2392</v>
      </c>
      <c r="M153" s="100">
        <v>16867712</v>
      </c>
      <c r="N153" s="100">
        <v>35908701</v>
      </c>
      <c r="O153" s="100">
        <v>52776413</v>
      </c>
      <c r="P153" s="96">
        <v>3724</v>
      </c>
    </row>
    <row r="154" spans="1:16">
      <c r="A154" s="86" t="s">
        <v>56</v>
      </c>
      <c r="B154" s="90"/>
      <c r="C154" s="77" t="s">
        <v>16</v>
      </c>
      <c r="D154" s="77">
        <v>4</v>
      </c>
      <c r="E154" s="101">
        <v>455078</v>
      </c>
      <c r="F154" s="101">
        <v>2351524</v>
      </c>
      <c r="G154" s="101">
        <v>2806602</v>
      </c>
      <c r="H154" s="97">
        <v>197</v>
      </c>
      <c r="I154" s="101">
        <v>0</v>
      </c>
      <c r="J154" s="101">
        <v>2475999</v>
      </c>
      <c r="K154" s="101">
        <v>2475999</v>
      </c>
      <c r="L154" s="97">
        <v>254</v>
      </c>
      <c r="M154" s="101">
        <v>0</v>
      </c>
      <c r="N154" s="101">
        <v>2475999</v>
      </c>
      <c r="O154" s="101">
        <v>2475999</v>
      </c>
      <c r="P154" s="97">
        <v>254</v>
      </c>
    </row>
    <row r="155" spans="1:16">
      <c r="A155" s="85" t="s">
        <v>56</v>
      </c>
      <c r="B155" s="89"/>
      <c r="C155" s="76" t="s">
        <v>16</v>
      </c>
      <c r="D155" s="76">
        <v>5</v>
      </c>
      <c r="E155" s="100">
        <v>0</v>
      </c>
      <c r="F155" s="100">
        <v>12591941</v>
      </c>
      <c r="G155" s="100">
        <v>12591941</v>
      </c>
      <c r="H155" s="96">
        <v>31</v>
      </c>
      <c r="I155" s="100">
        <v>0</v>
      </c>
      <c r="J155" s="100">
        <v>13118947</v>
      </c>
      <c r="K155" s="100">
        <v>13118947</v>
      </c>
      <c r="L155" s="96">
        <v>40</v>
      </c>
      <c r="M155" s="100">
        <v>0</v>
      </c>
      <c r="N155" s="100">
        <v>14962447</v>
      </c>
      <c r="O155" s="100">
        <v>14962447</v>
      </c>
      <c r="P155" s="96">
        <v>42</v>
      </c>
    </row>
    <row r="156" spans="1:16">
      <c r="A156" s="86" t="s">
        <v>56</v>
      </c>
      <c r="B156" s="90"/>
      <c r="C156" s="77" t="s">
        <v>16</v>
      </c>
      <c r="D156" s="77">
        <v>6</v>
      </c>
      <c r="E156" s="101">
        <v>74604</v>
      </c>
      <c r="F156" s="101">
        <v>252572</v>
      </c>
      <c r="G156" s="101">
        <v>327176</v>
      </c>
      <c r="H156" s="97">
        <v>18</v>
      </c>
      <c r="I156" s="101">
        <v>0</v>
      </c>
      <c r="J156" s="101">
        <v>252572</v>
      </c>
      <c r="K156" s="101">
        <v>252572</v>
      </c>
      <c r="L156" s="97">
        <v>19</v>
      </c>
      <c r="M156" s="101">
        <v>0</v>
      </c>
      <c r="N156" s="101">
        <v>252572</v>
      </c>
      <c r="O156" s="101">
        <v>252572</v>
      </c>
      <c r="P156" s="97">
        <v>19</v>
      </c>
    </row>
    <row r="157" spans="1:16">
      <c r="A157" s="85" t="s">
        <v>56</v>
      </c>
      <c r="B157" s="89"/>
      <c r="C157" s="76" t="s">
        <v>16</v>
      </c>
      <c r="D157" s="76">
        <v>7</v>
      </c>
      <c r="E157" s="100">
        <v>0</v>
      </c>
      <c r="F157" s="100">
        <v>2972825</v>
      </c>
      <c r="G157" s="100">
        <v>2972825</v>
      </c>
      <c r="H157" s="96">
        <v>8</v>
      </c>
      <c r="I157" s="100">
        <v>0</v>
      </c>
      <c r="J157" s="100">
        <v>3151261</v>
      </c>
      <c r="K157" s="100">
        <v>3151261</v>
      </c>
      <c r="L157" s="96">
        <v>12</v>
      </c>
      <c r="M157" s="100">
        <v>0</v>
      </c>
      <c r="N157" s="100">
        <v>3151261</v>
      </c>
      <c r="O157" s="100">
        <v>3151261</v>
      </c>
      <c r="P157" s="96">
        <v>12</v>
      </c>
    </row>
    <row r="158" spans="1:16">
      <c r="A158" s="86" t="s">
        <v>56</v>
      </c>
      <c r="B158" s="90"/>
      <c r="C158" s="77" t="s">
        <v>16</v>
      </c>
      <c r="D158" s="77">
        <v>8</v>
      </c>
      <c r="E158" s="101">
        <v>843885</v>
      </c>
      <c r="F158" s="101">
        <v>6622337</v>
      </c>
      <c r="G158" s="101">
        <v>7466222</v>
      </c>
      <c r="H158" s="97">
        <v>177</v>
      </c>
      <c r="I158" s="101">
        <v>0</v>
      </c>
      <c r="J158" s="101">
        <v>7814157</v>
      </c>
      <c r="K158" s="101">
        <v>7814157</v>
      </c>
      <c r="L158" s="97">
        <v>219</v>
      </c>
      <c r="M158" s="101">
        <v>0</v>
      </c>
      <c r="N158" s="101">
        <v>9955116</v>
      </c>
      <c r="O158" s="101">
        <v>9955116</v>
      </c>
      <c r="P158" s="97">
        <v>222</v>
      </c>
    </row>
    <row r="159" spans="1:16">
      <c r="A159" s="85" t="s">
        <v>56</v>
      </c>
      <c r="B159" s="89"/>
      <c r="C159" s="76" t="s">
        <v>16</v>
      </c>
      <c r="D159" s="76">
        <v>9</v>
      </c>
      <c r="E159" s="100">
        <v>5174150</v>
      </c>
      <c r="F159" s="100">
        <v>4048802</v>
      </c>
      <c r="G159" s="100">
        <v>9222952</v>
      </c>
      <c r="H159" s="96">
        <v>18</v>
      </c>
      <c r="I159" s="100">
        <v>0</v>
      </c>
      <c r="J159" s="100">
        <v>9459236</v>
      </c>
      <c r="K159" s="100">
        <v>9459236</v>
      </c>
      <c r="L159" s="96">
        <v>29</v>
      </c>
      <c r="M159" s="100">
        <v>37191440</v>
      </c>
      <c r="N159" s="100">
        <v>9459236</v>
      </c>
      <c r="O159" s="100">
        <v>46650676</v>
      </c>
      <c r="P159" s="96">
        <v>33</v>
      </c>
    </row>
    <row r="160" spans="1:16">
      <c r="A160" s="86" t="s">
        <v>56</v>
      </c>
      <c r="B160" s="90"/>
      <c r="C160" s="77" t="s">
        <v>17</v>
      </c>
      <c r="D160" s="77">
        <v>1</v>
      </c>
      <c r="E160" s="101">
        <v>42073222</v>
      </c>
      <c r="F160" s="101">
        <v>5656210</v>
      </c>
      <c r="G160" s="101">
        <v>47729432</v>
      </c>
      <c r="H160" s="97">
        <v>52</v>
      </c>
      <c r="I160" s="101">
        <v>9637969</v>
      </c>
      <c r="J160" s="101">
        <v>16924469</v>
      </c>
      <c r="K160" s="101">
        <v>26562438</v>
      </c>
      <c r="L160" s="97">
        <v>55</v>
      </c>
      <c r="M160" s="101">
        <v>15611936</v>
      </c>
      <c r="N160" s="101">
        <v>24715245</v>
      </c>
      <c r="O160" s="101">
        <v>40327181</v>
      </c>
      <c r="P160" s="97">
        <v>62</v>
      </c>
    </row>
    <row r="161" spans="1:16">
      <c r="A161" s="85" t="s">
        <v>56</v>
      </c>
      <c r="B161" s="89"/>
      <c r="C161" s="76" t="s">
        <v>17</v>
      </c>
      <c r="D161" s="76">
        <v>2</v>
      </c>
      <c r="E161" s="100">
        <v>79947991</v>
      </c>
      <c r="F161" s="100">
        <v>64121006</v>
      </c>
      <c r="G161" s="100">
        <v>144068997</v>
      </c>
      <c r="H161" s="96">
        <v>405</v>
      </c>
      <c r="I161" s="100">
        <v>124394714</v>
      </c>
      <c r="J161" s="100">
        <v>153083393</v>
      </c>
      <c r="K161" s="100">
        <v>277478107</v>
      </c>
      <c r="L161" s="96">
        <v>463</v>
      </c>
      <c r="M161" s="100">
        <v>359739493</v>
      </c>
      <c r="N161" s="100">
        <v>290951114</v>
      </c>
      <c r="O161" s="100">
        <v>650690607</v>
      </c>
      <c r="P161" s="96">
        <v>478</v>
      </c>
    </row>
    <row r="162" spans="1:16">
      <c r="A162" s="86" t="s">
        <v>56</v>
      </c>
      <c r="B162" s="90"/>
      <c r="C162" s="77" t="s">
        <v>17</v>
      </c>
      <c r="D162" s="77">
        <v>3</v>
      </c>
      <c r="E162" s="101">
        <v>298678150</v>
      </c>
      <c r="F162" s="101">
        <v>173264093</v>
      </c>
      <c r="G162" s="101">
        <v>471942243</v>
      </c>
      <c r="H162" s="97">
        <v>4030</v>
      </c>
      <c r="I162" s="101">
        <v>357271719</v>
      </c>
      <c r="J162" s="101">
        <v>401352594</v>
      </c>
      <c r="K162" s="101">
        <v>758624313</v>
      </c>
      <c r="L162" s="97">
        <v>4222</v>
      </c>
      <c r="M162" s="101">
        <v>154785809</v>
      </c>
      <c r="N162" s="101">
        <v>601599596</v>
      </c>
      <c r="O162" s="101">
        <v>756385405</v>
      </c>
      <c r="P162" s="97">
        <v>4336</v>
      </c>
    </row>
    <row r="163" spans="1:16">
      <c r="A163" s="85" t="s">
        <v>56</v>
      </c>
      <c r="B163" s="89"/>
      <c r="C163" s="76" t="s">
        <v>17</v>
      </c>
      <c r="D163" s="76">
        <v>4</v>
      </c>
      <c r="E163" s="100">
        <v>12824733</v>
      </c>
      <c r="F163" s="100">
        <v>84767082</v>
      </c>
      <c r="G163" s="100">
        <v>97591815</v>
      </c>
      <c r="H163" s="96">
        <v>531</v>
      </c>
      <c r="I163" s="100">
        <v>0</v>
      </c>
      <c r="J163" s="100">
        <v>103043021</v>
      </c>
      <c r="K163" s="100">
        <v>103043021</v>
      </c>
      <c r="L163" s="96">
        <v>551</v>
      </c>
      <c r="M163" s="100">
        <v>0</v>
      </c>
      <c r="N163" s="100">
        <v>110013399</v>
      </c>
      <c r="O163" s="100">
        <v>110013399</v>
      </c>
      <c r="P163" s="96">
        <v>553</v>
      </c>
    </row>
    <row r="164" spans="1:16">
      <c r="A164" s="86" t="s">
        <v>56</v>
      </c>
      <c r="B164" s="90"/>
      <c r="C164" s="77" t="s">
        <v>17</v>
      </c>
      <c r="D164" s="77">
        <v>5</v>
      </c>
      <c r="E164" s="101">
        <v>87059143</v>
      </c>
      <c r="F164" s="101">
        <v>120816406</v>
      </c>
      <c r="G164" s="101">
        <v>207875549</v>
      </c>
      <c r="H164" s="97">
        <v>34</v>
      </c>
      <c r="I164" s="101">
        <v>0</v>
      </c>
      <c r="J164" s="101">
        <v>182423806</v>
      </c>
      <c r="K164" s="101">
        <v>182423806</v>
      </c>
      <c r="L164" s="97">
        <v>34</v>
      </c>
      <c r="M164" s="101">
        <v>0</v>
      </c>
      <c r="N164" s="101">
        <v>184031231</v>
      </c>
      <c r="O164" s="101">
        <v>184031231</v>
      </c>
      <c r="P164" s="97">
        <v>34</v>
      </c>
    </row>
    <row r="165" spans="1:16">
      <c r="A165" s="85" t="s">
        <v>56</v>
      </c>
      <c r="B165" s="89"/>
      <c r="C165" s="76" t="s">
        <v>17</v>
      </c>
      <c r="D165" s="76">
        <v>6</v>
      </c>
      <c r="E165" s="100">
        <v>1977441</v>
      </c>
      <c r="F165" s="100">
        <v>3163242</v>
      </c>
      <c r="G165" s="100">
        <v>5140683</v>
      </c>
      <c r="H165" s="96">
        <v>71</v>
      </c>
      <c r="I165" s="100">
        <v>0</v>
      </c>
      <c r="J165" s="100">
        <v>3564345</v>
      </c>
      <c r="K165" s="100">
        <v>3564345</v>
      </c>
      <c r="L165" s="96">
        <v>72</v>
      </c>
      <c r="M165" s="100">
        <v>0</v>
      </c>
      <c r="N165" s="100">
        <v>13984645</v>
      </c>
      <c r="O165" s="100">
        <v>13984645</v>
      </c>
      <c r="P165" s="96">
        <v>73</v>
      </c>
    </row>
    <row r="166" spans="1:16">
      <c r="A166" s="86" t="s">
        <v>56</v>
      </c>
      <c r="B166" s="90"/>
      <c r="C166" s="77" t="s">
        <v>17</v>
      </c>
      <c r="D166" s="77">
        <v>7</v>
      </c>
      <c r="E166" s="101">
        <v>21835304</v>
      </c>
      <c r="F166" s="101">
        <v>19061896</v>
      </c>
      <c r="G166" s="101">
        <v>40897200</v>
      </c>
      <c r="H166" s="97">
        <v>9</v>
      </c>
      <c r="I166" s="101">
        <v>0</v>
      </c>
      <c r="J166" s="101">
        <v>37968896</v>
      </c>
      <c r="K166" s="101">
        <v>37968896</v>
      </c>
      <c r="L166" s="97">
        <v>10</v>
      </c>
      <c r="M166" s="101">
        <v>3715127</v>
      </c>
      <c r="N166" s="101">
        <v>37968896</v>
      </c>
      <c r="O166" s="101">
        <v>41684023</v>
      </c>
      <c r="P166" s="97">
        <v>11</v>
      </c>
    </row>
    <row r="167" spans="1:16">
      <c r="A167" s="85" t="s">
        <v>56</v>
      </c>
      <c r="B167" s="89"/>
      <c r="C167" s="76" t="s">
        <v>17</v>
      </c>
      <c r="D167" s="76">
        <v>8</v>
      </c>
      <c r="E167" s="100">
        <v>174738609</v>
      </c>
      <c r="F167" s="100">
        <v>295900867</v>
      </c>
      <c r="G167" s="100">
        <v>470639476</v>
      </c>
      <c r="H167" s="96">
        <v>3016</v>
      </c>
      <c r="I167" s="100">
        <v>2581711</v>
      </c>
      <c r="J167" s="100">
        <v>485690210</v>
      </c>
      <c r="K167" s="100">
        <v>488271921</v>
      </c>
      <c r="L167" s="96">
        <v>3096</v>
      </c>
      <c r="M167" s="100">
        <v>2370000</v>
      </c>
      <c r="N167" s="100">
        <v>505974818</v>
      </c>
      <c r="O167" s="100">
        <v>508344818</v>
      </c>
      <c r="P167" s="96">
        <v>3097</v>
      </c>
    </row>
    <row r="168" spans="1:16">
      <c r="A168" s="86" t="s">
        <v>56</v>
      </c>
      <c r="B168" s="90"/>
      <c r="C168" s="77" t="s">
        <v>17</v>
      </c>
      <c r="D168" s="77">
        <v>9</v>
      </c>
      <c r="E168" s="101">
        <v>99876814</v>
      </c>
      <c r="F168" s="101">
        <v>107114448</v>
      </c>
      <c r="G168" s="101">
        <v>206991262</v>
      </c>
      <c r="H168" s="97">
        <v>50</v>
      </c>
      <c r="I168" s="101">
        <v>2008547</v>
      </c>
      <c r="J168" s="101">
        <v>154029275</v>
      </c>
      <c r="K168" s="101">
        <v>156037822</v>
      </c>
      <c r="L168" s="97">
        <v>56</v>
      </c>
      <c r="M168" s="101">
        <v>0</v>
      </c>
      <c r="N168" s="101">
        <v>154029275</v>
      </c>
      <c r="O168" s="101">
        <v>154029275</v>
      </c>
      <c r="P168" s="97">
        <v>56</v>
      </c>
    </row>
    <row r="169" spans="1:16">
      <c r="A169" s="85" t="s">
        <v>56</v>
      </c>
      <c r="B169" s="89"/>
      <c r="C169" s="76" t="s">
        <v>18</v>
      </c>
      <c r="D169" s="76">
        <v>1</v>
      </c>
      <c r="E169" s="100">
        <v>5433717</v>
      </c>
      <c r="F169" s="100">
        <v>444410</v>
      </c>
      <c r="G169" s="100">
        <v>5878127</v>
      </c>
      <c r="H169" s="96">
        <v>29</v>
      </c>
      <c r="I169" s="100">
        <v>4187857</v>
      </c>
      <c r="J169" s="100">
        <v>1202521</v>
      </c>
      <c r="K169" s="100">
        <v>5390378</v>
      </c>
      <c r="L169" s="96">
        <v>30</v>
      </c>
      <c r="M169" s="100">
        <v>57873</v>
      </c>
      <c r="N169" s="100">
        <v>14950293</v>
      </c>
      <c r="O169" s="100">
        <v>15008166</v>
      </c>
      <c r="P169" s="96">
        <v>41</v>
      </c>
    </row>
    <row r="170" spans="1:16">
      <c r="A170" s="86" t="s">
        <v>56</v>
      </c>
      <c r="B170" s="90"/>
      <c r="C170" s="77" t="s">
        <v>18</v>
      </c>
      <c r="D170" s="77">
        <v>2</v>
      </c>
      <c r="E170" s="101">
        <v>22819162</v>
      </c>
      <c r="F170" s="101">
        <v>12136254</v>
      </c>
      <c r="G170" s="101">
        <v>34955416</v>
      </c>
      <c r="H170" s="97">
        <v>179</v>
      </c>
      <c r="I170" s="101">
        <v>119250634</v>
      </c>
      <c r="J170" s="101">
        <v>84927369</v>
      </c>
      <c r="K170" s="101">
        <v>204178003</v>
      </c>
      <c r="L170" s="97">
        <v>208</v>
      </c>
      <c r="M170" s="101">
        <v>76693554</v>
      </c>
      <c r="N170" s="101">
        <v>142287715</v>
      </c>
      <c r="O170" s="101">
        <v>218981269</v>
      </c>
      <c r="P170" s="97">
        <v>228</v>
      </c>
    </row>
    <row r="171" spans="1:16">
      <c r="A171" s="85" t="s">
        <v>56</v>
      </c>
      <c r="B171" s="89"/>
      <c r="C171" s="76" t="s">
        <v>18</v>
      </c>
      <c r="D171" s="76">
        <v>3</v>
      </c>
      <c r="E171" s="100">
        <v>117012208</v>
      </c>
      <c r="F171" s="100">
        <v>89702287</v>
      </c>
      <c r="G171" s="100">
        <v>206714495</v>
      </c>
      <c r="H171" s="96">
        <v>2245</v>
      </c>
      <c r="I171" s="100">
        <v>240199599</v>
      </c>
      <c r="J171" s="100">
        <v>223668389</v>
      </c>
      <c r="K171" s="100">
        <v>463867988</v>
      </c>
      <c r="L171" s="96">
        <v>2474</v>
      </c>
      <c r="M171" s="100">
        <v>79236485</v>
      </c>
      <c r="N171" s="100">
        <v>273649890</v>
      </c>
      <c r="O171" s="100">
        <v>352886375</v>
      </c>
      <c r="P171" s="96">
        <v>2914</v>
      </c>
    </row>
    <row r="172" spans="1:16">
      <c r="A172" s="86" t="s">
        <v>56</v>
      </c>
      <c r="B172" s="90"/>
      <c r="C172" s="77" t="s">
        <v>18</v>
      </c>
      <c r="D172" s="77">
        <v>4</v>
      </c>
      <c r="E172" s="101">
        <v>441986</v>
      </c>
      <c r="F172" s="101">
        <v>4237916</v>
      </c>
      <c r="G172" s="101">
        <v>4679902</v>
      </c>
      <c r="H172" s="97">
        <v>27</v>
      </c>
      <c r="I172" s="101">
        <v>0</v>
      </c>
      <c r="J172" s="101">
        <v>5451729</v>
      </c>
      <c r="K172" s="101">
        <v>5451729</v>
      </c>
      <c r="L172" s="97">
        <v>29</v>
      </c>
      <c r="M172" s="101">
        <v>0</v>
      </c>
      <c r="N172" s="101">
        <v>5451729</v>
      </c>
      <c r="O172" s="101">
        <v>5451729</v>
      </c>
      <c r="P172" s="97">
        <v>29</v>
      </c>
    </row>
    <row r="173" spans="1:16">
      <c r="A173" s="85" t="s">
        <v>56</v>
      </c>
      <c r="B173" s="89"/>
      <c r="C173" s="76" t="s">
        <v>18</v>
      </c>
      <c r="D173" s="76">
        <v>5</v>
      </c>
      <c r="E173" s="100">
        <v>27537308</v>
      </c>
      <c r="F173" s="100">
        <v>30034800</v>
      </c>
      <c r="G173" s="100">
        <v>57572108</v>
      </c>
      <c r="H173" s="96">
        <v>8</v>
      </c>
      <c r="I173" s="100">
        <v>0</v>
      </c>
      <c r="J173" s="100">
        <v>30089970</v>
      </c>
      <c r="K173" s="100">
        <v>30089970</v>
      </c>
      <c r="L173" s="96">
        <v>12</v>
      </c>
      <c r="M173" s="100">
        <v>0</v>
      </c>
      <c r="N173" s="100">
        <v>30089970</v>
      </c>
      <c r="O173" s="100">
        <v>30089970</v>
      </c>
      <c r="P173" s="96">
        <v>12</v>
      </c>
    </row>
    <row r="174" spans="1:16">
      <c r="A174" s="86" t="s">
        <v>56</v>
      </c>
      <c r="B174" s="90"/>
      <c r="C174" s="77" t="s">
        <v>18</v>
      </c>
      <c r="D174" s="77">
        <v>6</v>
      </c>
      <c r="E174" s="101">
        <v>0</v>
      </c>
      <c r="F174" s="101">
        <v>0</v>
      </c>
      <c r="G174" s="101">
        <v>0</v>
      </c>
      <c r="H174" s="97">
        <v>2</v>
      </c>
      <c r="I174" s="101">
        <v>0</v>
      </c>
      <c r="J174" s="101">
        <v>3570</v>
      </c>
      <c r="K174" s="101">
        <v>3570</v>
      </c>
      <c r="L174" s="97">
        <v>3</v>
      </c>
      <c r="M174" s="101">
        <v>0</v>
      </c>
      <c r="N174" s="101">
        <v>3570</v>
      </c>
      <c r="O174" s="101">
        <v>3570</v>
      </c>
      <c r="P174" s="97">
        <v>3</v>
      </c>
    </row>
    <row r="175" spans="1:16">
      <c r="A175" s="85" t="s">
        <v>56</v>
      </c>
      <c r="B175" s="89"/>
      <c r="C175" s="76" t="s">
        <v>18</v>
      </c>
      <c r="D175" s="76">
        <v>7</v>
      </c>
      <c r="E175" s="100">
        <v>263109</v>
      </c>
      <c r="F175" s="100">
        <v>28745898</v>
      </c>
      <c r="G175" s="100">
        <v>29009007</v>
      </c>
      <c r="H175" s="96">
        <v>7</v>
      </c>
      <c r="I175" s="100">
        <v>0</v>
      </c>
      <c r="J175" s="100">
        <v>38357898</v>
      </c>
      <c r="K175" s="100">
        <v>38357898</v>
      </c>
      <c r="L175" s="96">
        <v>9</v>
      </c>
      <c r="M175" s="100">
        <v>0</v>
      </c>
      <c r="N175" s="100">
        <v>38357898</v>
      </c>
      <c r="O175" s="100">
        <v>38357898</v>
      </c>
      <c r="P175" s="96">
        <v>9</v>
      </c>
    </row>
    <row r="176" spans="1:16">
      <c r="A176" s="86" t="s">
        <v>56</v>
      </c>
      <c r="B176" s="90"/>
      <c r="C176" s="77" t="s">
        <v>18</v>
      </c>
      <c r="D176" s="77">
        <v>8</v>
      </c>
      <c r="E176" s="101">
        <v>822995</v>
      </c>
      <c r="F176" s="101">
        <v>951319</v>
      </c>
      <c r="G176" s="101">
        <v>1774314</v>
      </c>
      <c r="H176" s="97">
        <v>19</v>
      </c>
      <c r="I176" s="101">
        <v>0</v>
      </c>
      <c r="J176" s="101">
        <v>1625533</v>
      </c>
      <c r="K176" s="101">
        <v>1625533</v>
      </c>
      <c r="L176" s="97">
        <v>19</v>
      </c>
      <c r="M176" s="101">
        <v>0</v>
      </c>
      <c r="N176" s="101">
        <v>1625533</v>
      </c>
      <c r="O176" s="101">
        <v>1625533</v>
      </c>
      <c r="P176" s="97">
        <v>19</v>
      </c>
    </row>
    <row r="177" spans="1:16" ht="13.5" thickBot="1">
      <c r="A177" s="87" t="s">
        <v>56</v>
      </c>
      <c r="B177" s="91"/>
      <c r="C177" s="78" t="s">
        <v>18</v>
      </c>
      <c r="D177" s="78">
        <v>9</v>
      </c>
      <c r="E177" s="102">
        <v>0</v>
      </c>
      <c r="F177" s="102">
        <v>0</v>
      </c>
      <c r="G177" s="102">
        <v>0</v>
      </c>
      <c r="H177" s="98">
        <v>2</v>
      </c>
      <c r="I177" s="102">
        <v>0</v>
      </c>
      <c r="J177" s="102">
        <v>0</v>
      </c>
      <c r="K177" s="102">
        <v>0</v>
      </c>
      <c r="L177" s="98">
        <v>2</v>
      </c>
      <c r="M177" s="102">
        <v>2424400</v>
      </c>
      <c r="N177" s="102">
        <v>0</v>
      </c>
      <c r="O177" s="102">
        <v>2424400</v>
      </c>
      <c r="P177" s="98">
        <v>4</v>
      </c>
    </row>
  </sheetData>
  <mergeCells count="21">
    <mergeCell ref="C18:D18"/>
    <mergeCell ref="C19:D19"/>
    <mergeCell ref="E1:H1"/>
    <mergeCell ref="E2:H2"/>
    <mergeCell ref="E3:H3"/>
    <mergeCell ref="E4:H4"/>
    <mergeCell ref="C5:D5"/>
    <mergeCell ref="A1:D1"/>
    <mergeCell ref="A2:D2"/>
    <mergeCell ref="A3:D3"/>
    <mergeCell ref="A4:D4"/>
    <mergeCell ref="A5:A6"/>
    <mergeCell ref="B5:B6"/>
    <mergeCell ref="M1:P1"/>
    <mergeCell ref="M2:P2"/>
    <mergeCell ref="M3:P3"/>
    <mergeCell ref="M4:P4"/>
    <mergeCell ref="I1:L1"/>
    <mergeCell ref="I2:L2"/>
    <mergeCell ref="I3:L3"/>
    <mergeCell ref="I4:L4"/>
  </mergeCells>
  <pageMargins left="0.74803149606299213" right="0.74803149606299213" top="1.3779527559055118" bottom="0.98425196850393704" header="0" footer="0"/>
  <pageSetup paperSize="9" orientation="portrait" verticalDpi="300" r:id="rId1"/>
  <headerFooter>
    <oddHeader>&amp;L&amp;G&amp;R&amp;G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Q177"/>
  <sheetViews>
    <sheetView zoomScale="85" zoomScaleNormal="85" zoomScaleSheetLayoutView="70" workbookViewId="0">
      <selection sqref="A1:D1"/>
    </sheetView>
  </sheetViews>
  <sheetFormatPr baseColWidth="10" defaultRowHeight="12.75"/>
  <cols>
    <col min="1" max="1" width="12.42578125" style="2" customWidth="1"/>
    <col min="2" max="2" width="23.42578125" style="2" bestFit="1" customWidth="1"/>
    <col min="3" max="3" width="3.85546875" style="3" customWidth="1"/>
    <col min="4" max="4" width="3" style="3" bestFit="1" customWidth="1"/>
    <col min="5" max="7" width="24.7109375" style="103" customWidth="1"/>
    <col min="8" max="8" width="24.7109375" style="104" customWidth="1"/>
    <col min="9" max="11" width="24.7109375" style="103" customWidth="1"/>
    <col min="12" max="12" width="24.7109375" style="104" customWidth="1"/>
    <col min="13" max="15" width="24.7109375" style="103" customWidth="1"/>
    <col min="16" max="16" width="24.7109375" style="104" customWidth="1"/>
    <col min="17" max="19" width="24.7109375" style="103" customWidth="1"/>
    <col min="20" max="20" width="24.7109375" style="104" customWidth="1"/>
    <col min="21" max="16384" width="11.42578125" style="2"/>
  </cols>
  <sheetData>
    <row r="1" spans="1:20" s="6" customFormat="1" ht="18.75">
      <c r="A1" s="159" t="s">
        <v>37</v>
      </c>
      <c r="B1" s="160"/>
      <c r="C1" s="160"/>
      <c r="D1" s="160"/>
      <c r="E1" s="161" t="s">
        <v>55</v>
      </c>
      <c r="F1" s="161"/>
      <c r="G1" s="161"/>
      <c r="H1" s="168"/>
      <c r="I1" s="161" t="s">
        <v>55</v>
      </c>
      <c r="J1" s="161"/>
      <c r="K1" s="161"/>
      <c r="L1" s="161"/>
      <c r="M1" s="170" t="s">
        <v>55</v>
      </c>
      <c r="N1" s="161"/>
      <c r="O1" s="161"/>
      <c r="P1" s="162"/>
      <c r="Q1" s="170" t="s">
        <v>55</v>
      </c>
      <c r="R1" s="161"/>
      <c r="S1" s="161"/>
      <c r="T1" s="162"/>
    </row>
    <row r="2" spans="1:20" s="7" customFormat="1" ht="21" customHeight="1">
      <c r="A2" s="155" t="s">
        <v>83</v>
      </c>
      <c r="B2" s="163"/>
      <c r="C2" s="163"/>
      <c r="D2" s="163"/>
      <c r="E2" s="153" t="s">
        <v>130</v>
      </c>
      <c r="F2" s="153"/>
      <c r="G2" s="153"/>
      <c r="H2" s="169"/>
      <c r="I2" s="153" t="s">
        <v>130</v>
      </c>
      <c r="J2" s="153"/>
      <c r="K2" s="153"/>
      <c r="L2" s="153"/>
      <c r="M2" s="171" t="s">
        <v>130</v>
      </c>
      <c r="N2" s="153"/>
      <c r="O2" s="153"/>
      <c r="P2" s="154"/>
      <c r="Q2" s="171" t="s">
        <v>130</v>
      </c>
      <c r="R2" s="153"/>
      <c r="S2" s="153"/>
      <c r="T2" s="154"/>
    </row>
    <row r="3" spans="1:20" s="1" customFormat="1" ht="21" customHeight="1">
      <c r="A3" s="155" t="s">
        <v>99</v>
      </c>
      <c r="B3" s="163"/>
      <c r="C3" s="163"/>
      <c r="D3" s="163"/>
      <c r="E3" s="153" t="s">
        <v>100</v>
      </c>
      <c r="F3" s="153"/>
      <c r="G3" s="153"/>
      <c r="H3" s="169"/>
      <c r="I3" s="153" t="s">
        <v>101</v>
      </c>
      <c r="J3" s="153"/>
      <c r="K3" s="153"/>
      <c r="L3" s="153"/>
      <c r="M3" s="171" t="s">
        <v>102</v>
      </c>
      <c r="N3" s="153"/>
      <c r="O3" s="153"/>
      <c r="P3" s="154"/>
      <c r="Q3" s="171" t="s">
        <v>103</v>
      </c>
      <c r="R3" s="153"/>
      <c r="S3" s="153"/>
      <c r="T3" s="154"/>
    </row>
    <row r="4" spans="1:20" s="8" customFormat="1" ht="21" customHeight="1">
      <c r="A4" s="150" t="s">
        <v>98</v>
      </c>
      <c r="B4" s="151"/>
      <c r="C4" s="151"/>
      <c r="D4" s="152"/>
      <c r="E4" s="153" t="s">
        <v>131</v>
      </c>
      <c r="F4" s="153"/>
      <c r="G4" s="153"/>
      <c r="H4" s="169"/>
      <c r="I4" s="153" t="s">
        <v>145</v>
      </c>
      <c r="J4" s="153"/>
      <c r="K4" s="153"/>
      <c r="L4" s="153"/>
      <c r="M4" s="171" t="s">
        <v>142</v>
      </c>
      <c r="N4" s="153"/>
      <c r="O4" s="153"/>
      <c r="P4" s="154"/>
      <c r="Q4" s="171" t="s">
        <v>151</v>
      </c>
      <c r="R4" s="153"/>
      <c r="S4" s="153"/>
      <c r="T4" s="154"/>
    </row>
    <row r="5" spans="1:20" s="5" customFormat="1">
      <c r="A5" s="155" t="s">
        <v>135</v>
      </c>
      <c r="B5" s="157" t="s">
        <v>136</v>
      </c>
      <c r="C5" s="157" t="s">
        <v>33</v>
      </c>
      <c r="D5" s="157"/>
      <c r="E5" s="130" t="s">
        <v>2</v>
      </c>
      <c r="F5" s="130" t="s">
        <v>2</v>
      </c>
      <c r="G5" s="130" t="s">
        <v>35</v>
      </c>
      <c r="H5" s="134" t="s">
        <v>138</v>
      </c>
      <c r="I5" s="130" t="s">
        <v>2</v>
      </c>
      <c r="J5" s="130" t="s">
        <v>2</v>
      </c>
      <c r="K5" s="130" t="s">
        <v>35</v>
      </c>
      <c r="L5" s="134" t="s">
        <v>138</v>
      </c>
      <c r="M5" s="130" t="s">
        <v>2</v>
      </c>
      <c r="N5" s="130" t="s">
        <v>2</v>
      </c>
      <c r="O5" s="130" t="s">
        <v>35</v>
      </c>
      <c r="P5" s="131" t="s">
        <v>138</v>
      </c>
      <c r="Q5" s="130" t="s">
        <v>2</v>
      </c>
      <c r="R5" s="130" t="s">
        <v>2</v>
      </c>
      <c r="S5" s="130" t="s">
        <v>35</v>
      </c>
      <c r="T5" s="131" t="s">
        <v>138</v>
      </c>
    </row>
    <row r="6" spans="1:20" s="5" customFormat="1" ht="13.5" thickBot="1">
      <c r="A6" s="156" t="s">
        <v>32</v>
      </c>
      <c r="B6" s="158" t="s">
        <v>31</v>
      </c>
      <c r="C6" s="93" t="s">
        <v>0</v>
      </c>
      <c r="D6" s="74" t="s">
        <v>1</v>
      </c>
      <c r="E6" s="132" t="s">
        <v>34</v>
      </c>
      <c r="F6" s="132" t="s">
        <v>3</v>
      </c>
      <c r="G6" s="132" t="s">
        <v>36</v>
      </c>
      <c r="H6" s="137" t="s">
        <v>139</v>
      </c>
      <c r="I6" s="136" t="s">
        <v>34</v>
      </c>
      <c r="J6" s="132" t="s">
        <v>3</v>
      </c>
      <c r="K6" s="132" t="s">
        <v>36</v>
      </c>
      <c r="L6" s="135" t="s">
        <v>139</v>
      </c>
      <c r="M6" s="132" t="s">
        <v>34</v>
      </c>
      <c r="N6" s="132" t="s">
        <v>3</v>
      </c>
      <c r="O6" s="132" t="s">
        <v>36</v>
      </c>
      <c r="P6" s="133" t="s">
        <v>139</v>
      </c>
      <c r="Q6" s="132" t="s">
        <v>34</v>
      </c>
      <c r="R6" s="132" t="s">
        <v>3</v>
      </c>
      <c r="S6" s="132" t="s">
        <v>36</v>
      </c>
      <c r="T6" s="133" t="s">
        <v>139</v>
      </c>
    </row>
    <row r="7" spans="1:20" s="9" customFormat="1" ht="15" customHeight="1">
      <c r="A7" s="83" t="s">
        <v>4</v>
      </c>
      <c r="B7" s="88" t="s">
        <v>5</v>
      </c>
      <c r="C7" s="75"/>
      <c r="D7" s="75"/>
      <c r="E7" s="99">
        <f>SUM(E8:E16)</f>
        <v>101836107699</v>
      </c>
      <c r="F7" s="99">
        <f t="shared" ref="F7:G7" si="0">SUM(F8:F16)</f>
        <v>198883144655</v>
      </c>
      <c r="G7" s="99">
        <f t="shared" si="0"/>
        <v>300719252354</v>
      </c>
      <c r="H7" s="95">
        <f>SUM(H8:H16)</f>
        <v>3091948</v>
      </c>
      <c r="I7" s="99">
        <f t="shared" ref="I7:T7" si="1">SUM(I8:I16)</f>
        <v>47772112865</v>
      </c>
      <c r="J7" s="99">
        <f t="shared" si="1"/>
        <v>304929099804</v>
      </c>
      <c r="K7" s="99">
        <f t="shared" si="1"/>
        <v>352701212669</v>
      </c>
      <c r="L7" s="95">
        <f t="shared" si="1"/>
        <v>3304848</v>
      </c>
      <c r="M7" s="99">
        <f t="shared" si="1"/>
        <v>89834284492</v>
      </c>
      <c r="N7" s="99">
        <f t="shared" si="1"/>
        <v>348370675185</v>
      </c>
      <c r="O7" s="99">
        <f t="shared" si="1"/>
        <v>438184096794</v>
      </c>
      <c r="P7" s="95">
        <f t="shared" si="1"/>
        <v>3439779</v>
      </c>
      <c r="Q7" s="99">
        <f t="shared" si="1"/>
        <v>108687649567</v>
      </c>
      <c r="R7" s="99">
        <f t="shared" si="1"/>
        <v>431779942533</v>
      </c>
      <c r="S7" s="99">
        <f t="shared" si="1"/>
        <v>540162802532</v>
      </c>
      <c r="T7" s="95">
        <f t="shared" si="1"/>
        <v>3442586</v>
      </c>
    </row>
    <row r="8" spans="1:20" ht="15" customHeight="1">
      <c r="A8" s="85" t="s">
        <v>4</v>
      </c>
      <c r="B8" s="89" t="s">
        <v>39</v>
      </c>
      <c r="C8" s="76">
        <v>1</v>
      </c>
      <c r="D8" s="76"/>
      <c r="E8" s="100">
        <v>967165036</v>
      </c>
      <c r="F8" s="100">
        <v>497527883</v>
      </c>
      <c r="G8" s="100">
        <v>1464692919</v>
      </c>
      <c r="H8" s="96">
        <v>21077</v>
      </c>
      <c r="I8" s="100">
        <v>1633856650</v>
      </c>
      <c r="J8" s="100">
        <v>1261382744</v>
      </c>
      <c r="K8" s="100">
        <v>2895239394</v>
      </c>
      <c r="L8" s="96">
        <v>23010</v>
      </c>
      <c r="M8" s="100">
        <v>3674324403</v>
      </c>
      <c r="N8" s="100">
        <v>2301515754</v>
      </c>
      <c r="O8" s="100">
        <v>5975840157</v>
      </c>
      <c r="P8" s="96">
        <v>26149</v>
      </c>
      <c r="Q8" s="100">
        <v>5713650623</v>
      </c>
      <c r="R8" s="100">
        <v>4048473869</v>
      </c>
      <c r="S8" s="100">
        <v>9762124492</v>
      </c>
      <c r="T8" s="96">
        <v>26245</v>
      </c>
    </row>
    <row r="9" spans="1:20" ht="15" customHeight="1">
      <c r="A9" s="86" t="s">
        <v>4</v>
      </c>
      <c r="B9" s="90" t="s">
        <v>38</v>
      </c>
      <c r="C9" s="77">
        <v>2</v>
      </c>
      <c r="D9" s="77"/>
      <c r="E9" s="101">
        <v>13966154359</v>
      </c>
      <c r="F9" s="101">
        <v>11451660061</v>
      </c>
      <c r="G9" s="101">
        <v>25417814420</v>
      </c>
      <c r="H9" s="97">
        <v>156968</v>
      </c>
      <c r="I9" s="101">
        <v>24910232861</v>
      </c>
      <c r="J9" s="101">
        <v>28869002627</v>
      </c>
      <c r="K9" s="101">
        <v>53779235488</v>
      </c>
      <c r="L9" s="97">
        <v>178333</v>
      </c>
      <c r="M9" s="101">
        <v>58219616337</v>
      </c>
      <c r="N9" s="101">
        <v>57374082452</v>
      </c>
      <c r="O9" s="101">
        <v>115572835906</v>
      </c>
      <c r="P9" s="97">
        <v>185198</v>
      </c>
      <c r="Q9" s="101">
        <v>79877747808</v>
      </c>
      <c r="R9" s="101">
        <v>121307161291</v>
      </c>
      <c r="S9" s="101">
        <v>200880119531</v>
      </c>
      <c r="T9" s="97">
        <v>186178</v>
      </c>
    </row>
    <row r="10" spans="1:20" ht="15" customHeight="1">
      <c r="A10" s="85" t="s">
        <v>4</v>
      </c>
      <c r="B10" s="89" t="s">
        <v>40</v>
      </c>
      <c r="C10" s="76">
        <v>3</v>
      </c>
      <c r="D10" s="76"/>
      <c r="E10" s="100">
        <v>26097780212</v>
      </c>
      <c r="F10" s="100">
        <v>39748154597</v>
      </c>
      <c r="G10" s="100">
        <v>65845934809</v>
      </c>
      <c r="H10" s="96">
        <v>1396119</v>
      </c>
      <c r="I10" s="100">
        <v>16618968249</v>
      </c>
      <c r="J10" s="100">
        <v>63651161690</v>
      </c>
      <c r="K10" s="100">
        <v>80270129939</v>
      </c>
      <c r="L10" s="96">
        <v>1468884</v>
      </c>
      <c r="M10" s="100">
        <v>25386618648</v>
      </c>
      <c r="N10" s="100">
        <v>72238663460</v>
      </c>
      <c r="O10" s="100">
        <v>97625282108</v>
      </c>
      <c r="P10" s="96">
        <v>1591864</v>
      </c>
      <c r="Q10" s="100">
        <v>20355653097</v>
      </c>
      <c r="R10" s="100">
        <v>85446846605</v>
      </c>
      <c r="S10" s="100">
        <v>105802499702</v>
      </c>
      <c r="T10" s="96">
        <v>1593224</v>
      </c>
    </row>
    <row r="11" spans="1:20" ht="15" customHeight="1">
      <c r="A11" s="86" t="s">
        <v>4</v>
      </c>
      <c r="B11" s="90" t="s">
        <v>6</v>
      </c>
      <c r="C11" s="77">
        <v>4</v>
      </c>
      <c r="D11" s="77"/>
      <c r="E11" s="101">
        <v>3274499114</v>
      </c>
      <c r="F11" s="101">
        <v>25914238471</v>
      </c>
      <c r="G11" s="101">
        <v>29188737585</v>
      </c>
      <c r="H11" s="97">
        <v>291336</v>
      </c>
      <c r="I11" s="101">
        <v>190403150</v>
      </c>
      <c r="J11" s="101">
        <v>30647774128</v>
      </c>
      <c r="K11" s="101">
        <v>30838177278</v>
      </c>
      <c r="L11" s="97">
        <v>308179</v>
      </c>
      <c r="M11" s="101">
        <v>45488960</v>
      </c>
      <c r="N11" s="101">
        <v>30799197232</v>
      </c>
      <c r="O11" s="101">
        <v>30844686192</v>
      </c>
      <c r="P11" s="97">
        <v>308329</v>
      </c>
      <c r="Q11" s="101">
        <v>64137506</v>
      </c>
      <c r="R11" s="101">
        <v>30866349460</v>
      </c>
      <c r="S11" s="101">
        <v>30930486966</v>
      </c>
      <c r="T11" s="97">
        <v>308346</v>
      </c>
    </row>
    <row r="12" spans="1:20" ht="15" customHeight="1">
      <c r="A12" s="85" t="s">
        <v>4</v>
      </c>
      <c r="B12" s="89" t="s">
        <v>7</v>
      </c>
      <c r="C12" s="76">
        <v>5</v>
      </c>
      <c r="D12" s="76"/>
      <c r="E12" s="100">
        <v>10835686451</v>
      </c>
      <c r="F12" s="100">
        <v>25773554429</v>
      </c>
      <c r="G12" s="100">
        <v>36609240880</v>
      </c>
      <c r="H12" s="96">
        <v>38514</v>
      </c>
      <c r="I12" s="100">
        <v>458670460</v>
      </c>
      <c r="J12" s="100">
        <v>36109361698</v>
      </c>
      <c r="K12" s="100">
        <v>36568032158</v>
      </c>
      <c r="L12" s="96">
        <v>40981</v>
      </c>
      <c r="M12" s="100">
        <v>465894688</v>
      </c>
      <c r="N12" s="100">
        <v>36734873821</v>
      </c>
      <c r="O12" s="100">
        <v>37200768509</v>
      </c>
      <c r="P12" s="96">
        <v>41228</v>
      </c>
      <c r="Q12" s="100">
        <v>333991641</v>
      </c>
      <c r="R12" s="100">
        <v>38124587315</v>
      </c>
      <c r="S12" s="100">
        <v>38458578956</v>
      </c>
      <c r="T12" s="96">
        <v>41379</v>
      </c>
    </row>
    <row r="13" spans="1:20" ht="15" customHeight="1">
      <c r="A13" s="86" t="s">
        <v>4</v>
      </c>
      <c r="B13" s="90" t="s">
        <v>8</v>
      </c>
      <c r="C13" s="77">
        <v>6</v>
      </c>
      <c r="D13" s="77"/>
      <c r="E13" s="101">
        <v>324175253</v>
      </c>
      <c r="F13" s="101">
        <v>710439270</v>
      </c>
      <c r="G13" s="101">
        <v>1034614523</v>
      </c>
      <c r="H13" s="97">
        <v>4842</v>
      </c>
      <c r="I13" s="101">
        <v>14496406</v>
      </c>
      <c r="J13" s="101">
        <v>1154124281</v>
      </c>
      <c r="K13" s="101">
        <v>1168620687</v>
      </c>
      <c r="L13" s="97">
        <v>5111</v>
      </c>
      <c r="M13" s="101">
        <v>18802116</v>
      </c>
      <c r="N13" s="101">
        <v>1195763708</v>
      </c>
      <c r="O13" s="101">
        <v>1214565824</v>
      </c>
      <c r="P13" s="97">
        <v>5124</v>
      </c>
      <c r="Q13" s="101">
        <v>36365332</v>
      </c>
      <c r="R13" s="101">
        <v>1219241663</v>
      </c>
      <c r="S13" s="101">
        <v>1255606995</v>
      </c>
      <c r="T13" s="97">
        <v>5128</v>
      </c>
    </row>
    <row r="14" spans="1:20" ht="15" customHeight="1">
      <c r="A14" s="85" t="s">
        <v>4</v>
      </c>
      <c r="B14" s="89" t="s">
        <v>9</v>
      </c>
      <c r="C14" s="76">
        <v>7</v>
      </c>
      <c r="D14" s="76"/>
      <c r="E14" s="100">
        <v>1778408720</v>
      </c>
      <c r="F14" s="100">
        <v>3466486932</v>
      </c>
      <c r="G14" s="100">
        <v>5244895652</v>
      </c>
      <c r="H14" s="96">
        <v>3488</v>
      </c>
      <c r="I14" s="100">
        <v>135048801</v>
      </c>
      <c r="J14" s="100">
        <v>5252884670</v>
      </c>
      <c r="K14" s="100">
        <v>5387933471</v>
      </c>
      <c r="L14" s="96">
        <v>3905</v>
      </c>
      <c r="M14" s="100">
        <v>99801153</v>
      </c>
      <c r="N14" s="100">
        <v>5315662380</v>
      </c>
      <c r="O14" s="100">
        <v>5415463533</v>
      </c>
      <c r="P14" s="96">
        <v>3913</v>
      </c>
      <c r="Q14" s="100">
        <v>48022952</v>
      </c>
      <c r="R14" s="100">
        <v>5460686176</v>
      </c>
      <c r="S14" s="100">
        <v>5508709128</v>
      </c>
      <c r="T14" s="96">
        <v>3916</v>
      </c>
    </row>
    <row r="15" spans="1:20" ht="15" customHeight="1">
      <c r="A15" s="86" t="s">
        <v>4</v>
      </c>
      <c r="B15" s="90" t="s">
        <v>10</v>
      </c>
      <c r="C15" s="77">
        <v>8</v>
      </c>
      <c r="D15" s="77"/>
      <c r="E15" s="101">
        <v>31450483044</v>
      </c>
      <c r="F15" s="101">
        <v>72472605922</v>
      </c>
      <c r="G15" s="101">
        <v>103923088966</v>
      </c>
      <c r="H15" s="97">
        <v>1151411</v>
      </c>
      <c r="I15" s="101">
        <v>2510872100</v>
      </c>
      <c r="J15" s="101">
        <v>105240311375</v>
      </c>
      <c r="K15" s="101">
        <v>107751183475</v>
      </c>
      <c r="L15" s="97">
        <v>1243974</v>
      </c>
      <c r="M15" s="101">
        <v>953202874</v>
      </c>
      <c r="N15" s="101">
        <v>108149153011</v>
      </c>
      <c r="O15" s="101">
        <v>109102355885</v>
      </c>
      <c r="P15" s="97">
        <v>1245373</v>
      </c>
      <c r="Q15" s="101">
        <v>1085865774</v>
      </c>
      <c r="R15" s="101">
        <v>109506093842</v>
      </c>
      <c r="S15" s="101">
        <v>110591959616</v>
      </c>
      <c r="T15" s="97">
        <v>1245541</v>
      </c>
    </row>
    <row r="16" spans="1:20" ht="15" customHeight="1" thickBot="1">
      <c r="A16" s="85" t="s">
        <v>4</v>
      </c>
      <c r="B16" s="89" t="s">
        <v>11</v>
      </c>
      <c r="C16" s="76">
        <v>9</v>
      </c>
      <c r="D16" s="76"/>
      <c r="E16" s="100">
        <v>13141755510</v>
      </c>
      <c r="F16" s="100">
        <v>18848477090</v>
      </c>
      <c r="G16" s="100">
        <v>31990232600</v>
      </c>
      <c r="H16" s="96">
        <v>28193</v>
      </c>
      <c r="I16" s="100">
        <v>1299564188</v>
      </c>
      <c r="J16" s="100">
        <v>32743096591</v>
      </c>
      <c r="K16" s="100">
        <v>34042660779</v>
      </c>
      <c r="L16" s="96">
        <v>32471</v>
      </c>
      <c r="M16" s="100">
        <v>970535313</v>
      </c>
      <c r="N16" s="100">
        <v>34261763367</v>
      </c>
      <c r="O16" s="100">
        <v>35232298680</v>
      </c>
      <c r="P16" s="96">
        <v>32601</v>
      </c>
      <c r="Q16" s="100">
        <v>1172214834</v>
      </c>
      <c r="R16" s="100">
        <v>35800502312</v>
      </c>
      <c r="S16" s="100">
        <v>36972717146</v>
      </c>
      <c r="T16" s="96">
        <v>32629</v>
      </c>
    </row>
    <row r="17" spans="1:20" s="9" customFormat="1" ht="15" customHeight="1">
      <c r="A17" s="83" t="s">
        <v>4</v>
      </c>
      <c r="B17" s="88" t="s">
        <v>5</v>
      </c>
      <c r="C17" s="75"/>
      <c r="D17" s="75"/>
      <c r="E17" s="99">
        <f>SUM(E18:E19)</f>
        <v>101836107699</v>
      </c>
      <c r="F17" s="99">
        <f t="shared" ref="F17:T17" si="2">SUM(F18:F19)</f>
        <v>198883144655</v>
      </c>
      <c r="G17" s="99">
        <f t="shared" si="2"/>
        <v>300719252354</v>
      </c>
      <c r="H17" s="95">
        <f t="shared" si="2"/>
        <v>3091948</v>
      </c>
      <c r="I17" s="99">
        <f>SUM(I18:I19)</f>
        <v>47772112865</v>
      </c>
      <c r="J17" s="99">
        <f t="shared" si="2"/>
        <v>304929099804</v>
      </c>
      <c r="K17" s="99">
        <f t="shared" si="2"/>
        <v>352701212669</v>
      </c>
      <c r="L17" s="95">
        <f t="shared" si="2"/>
        <v>3304848</v>
      </c>
      <c r="M17" s="99">
        <f>SUM(M18:M19)</f>
        <v>89834284492</v>
      </c>
      <c r="N17" s="99">
        <f t="shared" si="2"/>
        <v>348370675185</v>
      </c>
      <c r="O17" s="99">
        <f t="shared" si="2"/>
        <v>438184096794</v>
      </c>
      <c r="P17" s="95">
        <f t="shared" si="2"/>
        <v>3439779</v>
      </c>
      <c r="Q17" s="99">
        <f>SUM(Q18:Q19)</f>
        <v>108687649567</v>
      </c>
      <c r="R17" s="99">
        <f t="shared" si="2"/>
        <v>431779942533</v>
      </c>
      <c r="S17" s="99">
        <f t="shared" si="2"/>
        <v>540162802532</v>
      </c>
      <c r="T17" s="95">
        <f t="shared" si="2"/>
        <v>3442586</v>
      </c>
    </row>
    <row r="18" spans="1:20" s="9" customFormat="1" ht="15" customHeight="1">
      <c r="A18" s="85" t="s">
        <v>4</v>
      </c>
      <c r="B18" s="89" t="s">
        <v>12</v>
      </c>
      <c r="C18" s="164" t="s">
        <v>19</v>
      </c>
      <c r="D18" s="165"/>
      <c r="E18" s="100">
        <f>+E8+E9+E10</f>
        <v>41031099607</v>
      </c>
      <c r="F18" s="100">
        <f t="shared" ref="F18:T18" si="3">+F8+F9+F10</f>
        <v>51697342541</v>
      </c>
      <c r="G18" s="100">
        <f t="shared" si="3"/>
        <v>92728442148</v>
      </c>
      <c r="H18" s="96">
        <f t="shared" si="3"/>
        <v>1574164</v>
      </c>
      <c r="I18" s="100">
        <f>+I8+I9+I10</f>
        <v>43163057760</v>
      </c>
      <c r="J18" s="100">
        <f t="shared" si="3"/>
        <v>93781547061</v>
      </c>
      <c r="K18" s="100">
        <f t="shared" si="3"/>
        <v>136944604821</v>
      </c>
      <c r="L18" s="96">
        <f t="shared" si="3"/>
        <v>1670227</v>
      </c>
      <c r="M18" s="100">
        <f>+M8+M9+M10</f>
        <v>87280559388</v>
      </c>
      <c r="N18" s="100">
        <f t="shared" si="3"/>
        <v>131914261666</v>
      </c>
      <c r="O18" s="100">
        <f t="shared" si="3"/>
        <v>219173958171</v>
      </c>
      <c r="P18" s="96">
        <f t="shared" si="3"/>
        <v>1803211</v>
      </c>
      <c r="Q18" s="100">
        <f>+Q8+Q9+Q10</f>
        <v>105947051528</v>
      </c>
      <c r="R18" s="100">
        <f t="shared" si="3"/>
        <v>210802481765</v>
      </c>
      <c r="S18" s="100">
        <f t="shared" si="3"/>
        <v>316444743725</v>
      </c>
      <c r="T18" s="96">
        <f t="shared" si="3"/>
        <v>1805647</v>
      </c>
    </row>
    <row r="19" spans="1:20" s="9" customFormat="1" ht="15" customHeight="1" thickBot="1">
      <c r="A19" s="86" t="s">
        <v>4</v>
      </c>
      <c r="B19" s="90" t="s">
        <v>13</v>
      </c>
      <c r="C19" s="166" t="s">
        <v>20</v>
      </c>
      <c r="D19" s="167"/>
      <c r="E19" s="101">
        <f>+E11+E12+E13+E14+E15+E16</f>
        <v>60805008092</v>
      </c>
      <c r="F19" s="101">
        <f t="shared" ref="F19:T19" si="4">+F11+F12+F13+F14+F15+F16</f>
        <v>147185802114</v>
      </c>
      <c r="G19" s="101">
        <f t="shared" si="4"/>
        <v>207990810206</v>
      </c>
      <c r="H19" s="97">
        <f t="shared" si="4"/>
        <v>1517784</v>
      </c>
      <c r="I19" s="101">
        <f>+I11+I12+I13+I14+I15+I16</f>
        <v>4609055105</v>
      </c>
      <c r="J19" s="101">
        <f t="shared" si="4"/>
        <v>211147552743</v>
      </c>
      <c r="K19" s="101">
        <f t="shared" si="4"/>
        <v>215756607848</v>
      </c>
      <c r="L19" s="97">
        <f t="shared" si="4"/>
        <v>1634621</v>
      </c>
      <c r="M19" s="101">
        <f>+M11+M12+M13+M14+M15+M16</f>
        <v>2553725104</v>
      </c>
      <c r="N19" s="101">
        <f t="shared" si="4"/>
        <v>216456413519</v>
      </c>
      <c r="O19" s="101">
        <f t="shared" si="4"/>
        <v>219010138623</v>
      </c>
      <c r="P19" s="97">
        <f t="shared" si="4"/>
        <v>1636568</v>
      </c>
      <c r="Q19" s="101">
        <f>+Q11+Q12+Q13+Q14+Q15+Q16</f>
        <v>2740598039</v>
      </c>
      <c r="R19" s="101">
        <f t="shared" si="4"/>
        <v>220977460768</v>
      </c>
      <c r="S19" s="101">
        <f t="shared" si="4"/>
        <v>223718058807</v>
      </c>
      <c r="T19" s="97">
        <f t="shared" si="4"/>
        <v>1636939</v>
      </c>
    </row>
    <row r="20" spans="1:20" s="9" customFormat="1" ht="15" customHeight="1">
      <c r="A20" s="83" t="s">
        <v>84</v>
      </c>
      <c r="B20" s="88" t="s">
        <v>5</v>
      </c>
      <c r="C20" s="75"/>
      <c r="D20" s="75"/>
      <c r="E20" s="99">
        <f>SUM(E21:E45)</f>
        <v>101836107699</v>
      </c>
      <c r="F20" s="99">
        <f t="shared" ref="F20:T20" si="5">SUM(F21:F45)</f>
        <v>198883144655</v>
      </c>
      <c r="G20" s="99">
        <f t="shared" si="5"/>
        <v>300719252354</v>
      </c>
      <c r="H20" s="95">
        <f t="shared" si="5"/>
        <v>2318138</v>
      </c>
      <c r="I20" s="99">
        <f>SUM(I21:I45)</f>
        <v>47772112865</v>
      </c>
      <c r="J20" s="99">
        <f t="shared" si="5"/>
        <v>304929099804</v>
      </c>
      <c r="K20" s="99">
        <f t="shared" si="5"/>
        <v>352701212669</v>
      </c>
      <c r="L20" s="95">
        <f t="shared" si="5"/>
        <v>2481994</v>
      </c>
      <c r="M20" s="99">
        <f>SUM(M21:M45)</f>
        <v>89834284492</v>
      </c>
      <c r="N20" s="99">
        <f t="shared" si="5"/>
        <v>348370675185</v>
      </c>
      <c r="O20" s="99">
        <f t="shared" si="5"/>
        <v>438184096794</v>
      </c>
      <c r="P20" s="95">
        <f t="shared" si="5"/>
        <v>2586638</v>
      </c>
      <c r="Q20" s="99">
        <f>SUM(Q21:Q45)</f>
        <v>108687649567</v>
      </c>
      <c r="R20" s="99">
        <f t="shared" si="5"/>
        <v>431779942533</v>
      </c>
      <c r="S20" s="99">
        <f t="shared" si="5"/>
        <v>540162802532</v>
      </c>
      <c r="T20" s="95">
        <f t="shared" si="5"/>
        <v>2587959</v>
      </c>
    </row>
    <row r="21" spans="1:20" ht="15" customHeight="1">
      <c r="A21" s="85" t="s">
        <v>84</v>
      </c>
      <c r="B21" s="89" t="s">
        <v>57</v>
      </c>
      <c r="C21" s="76"/>
      <c r="D21" s="76"/>
      <c r="E21" s="100">
        <v>15507847951</v>
      </c>
      <c r="F21" s="100">
        <v>27592720344</v>
      </c>
      <c r="G21" s="100">
        <v>43100568295</v>
      </c>
      <c r="H21" s="96">
        <v>284321</v>
      </c>
      <c r="I21" s="100">
        <v>9079317767</v>
      </c>
      <c r="J21" s="100">
        <v>41901712520</v>
      </c>
      <c r="K21" s="100">
        <v>50981030287</v>
      </c>
      <c r="L21" s="96">
        <v>298253</v>
      </c>
      <c r="M21" s="100">
        <v>17412580166</v>
      </c>
      <c r="N21" s="100">
        <v>48979019676</v>
      </c>
      <c r="O21" s="100">
        <v>66391599842</v>
      </c>
      <c r="P21" s="96">
        <v>305133</v>
      </c>
      <c r="Q21" s="100">
        <v>29629184641</v>
      </c>
      <c r="R21" s="100">
        <v>65209313689</v>
      </c>
      <c r="S21" s="100">
        <v>94838498330</v>
      </c>
      <c r="T21" s="96">
        <v>305309</v>
      </c>
    </row>
    <row r="22" spans="1:20" ht="15" customHeight="1">
      <c r="A22" s="86" t="s">
        <v>84</v>
      </c>
      <c r="B22" s="90" t="s">
        <v>58</v>
      </c>
      <c r="C22" s="77"/>
      <c r="D22" s="77"/>
      <c r="E22" s="101">
        <v>48934367518</v>
      </c>
      <c r="F22" s="101">
        <v>98428825618</v>
      </c>
      <c r="G22" s="101">
        <v>147363193136</v>
      </c>
      <c r="H22" s="97">
        <v>1049672</v>
      </c>
      <c r="I22" s="101">
        <v>24516525530</v>
      </c>
      <c r="J22" s="101">
        <v>148073716554</v>
      </c>
      <c r="K22" s="101">
        <v>172590242084</v>
      </c>
      <c r="L22" s="97">
        <v>1112436</v>
      </c>
      <c r="M22" s="101">
        <v>42984507902</v>
      </c>
      <c r="N22" s="101">
        <v>167689634840</v>
      </c>
      <c r="O22" s="101">
        <v>210674142742</v>
      </c>
      <c r="P22" s="97">
        <v>1151132</v>
      </c>
      <c r="Q22" s="101">
        <v>53124338559</v>
      </c>
      <c r="R22" s="101">
        <v>205218038946</v>
      </c>
      <c r="S22" s="101">
        <v>258342377505</v>
      </c>
      <c r="T22" s="97">
        <v>1151531</v>
      </c>
    </row>
    <row r="23" spans="1:20" ht="15" customHeight="1">
      <c r="A23" s="85" t="s">
        <v>84</v>
      </c>
      <c r="B23" s="89" t="s">
        <v>59</v>
      </c>
      <c r="C23" s="76"/>
      <c r="D23" s="76"/>
      <c r="E23" s="100">
        <v>176554341</v>
      </c>
      <c r="F23" s="100">
        <v>318685825</v>
      </c>
      <c r="G23" s="100">
        <v>495240166</v>
      </c>
      <c r="H23" s="96">
        <v>5247</v>
      </c>
      <c r="I23" s="100">
        <v>38254897</v>
      </c>
      <c r="J23" s="100">
        <v>519848597</v>
      </c>
      <c r="K23" s="100">
        <v>558103494</v>
      </c>
      <c r="L23" s="96">
        <v>5689</v>
      </c>
      <c r="M23" s="100">
        <v>42733324</v>
      </c>
      <c r="N23" s="100">
        <v>562659927</v>
      </c>
      <c r="O23" s="100">
        <v>605393251</v>
      </c>
      <c r="P23" s="96">
        <v>6130</v>
      </c>
      <c r="Q23" s="100">
        <v>69905907</v>
      </c>
      <c r="R23" s="100">
        <v>591773028</v>
      </c>
      <c r="S23" s="100">
        <v>661678935</v>
      </c>
      <c r="T23" s="96">
        <v>6134</v>
      </c>
    </row>
    <row r="24" spans="1:20" ht="15" customHeight="1">
      <c r="A24" s="86" t="s">
        <v>84</v>
      </c>
      <c r="B24" s="90" t="s">
        <v>60</v>
      </c>
      <c r="C24" s="77"/>
      <c r="D24" s="77"/>
      <c r="E24" s="101">
        <v>7672252620</v>
      </c>
      <c r="F24" s="101">
        <v>14738639008</v>
      </c>
      <c r="G24" s="101">
        <v>22410891628</v>
      </c>
      <c r="H24" s="97">
        <v>212124</v>
      </c>
      <c r="I24" s="101">
        <v>1869938891</v>
      </c>
      <c r="J24" s="101">
        <v>23002499102</v>
      </c>
      <c r="K24" s="101">
        <v>24872437993</v>
      </c>
      <c r="L24" s="97">
        <v>228017</v>
      </c>
      <c r="M24" s="101">
        <v>3366353922</v>
      </c>
      <c r="N24" s="101">
        <v>25080028492</v>
      </c>
      <c r="O24" s="101">
        <v>28446382414</v>
      </c>
      <c r="P24" s="97">
        <v>238651</v>
      </c>
      <c r="Q24" s="101">
        <v>2536724584</v>
      </c>
      <c r="R24" s="101">
        <v>28314198041</v>
      </c>
      <c r="S24" s="101">
        <v>30850922625</v>
      </c>
      <c r="T24" s="97">
        <v>238770</v>
      </c>
    </row>
    <row r="25" spans="1:20" ht="15" customHeight="1">
      <c r="A25" s="85" t="s">
        <v>84</v>
      </c>
      <c r="B25" s="89" t="s">
        <v>61</v>
      </c>
      <c r="C25" s="76"/>
      <c r="D25" s="76"/>
      <c r="E25" s="100">
        <v>793930591</v>
      </c>
      <c r="F25" s="100">
        <v>1562212436</v>
      </c>
      <c r="G25" s="100">
        <v>2356143027</v>
      </c>
      <c r="H25" s="96">
        <v>20123</v>
      </c>
      <c r="I25" s="100">
        <v>278461970</v>
      </c>
      <c r="J25" s="100">
        <v>2534639710</v>
      </c>
      <c r="K25" s="100">
        <v>2813101680</v>
      </c>
      <c r="L25" s="96">
        <v>21901</v>
      </c>
      <c r="M25" s="100">
        <v>986874055</v>
      </c>
      <c r="N25" s="100">
        <v>3011825538</v>
      </c>
      <c r="O25" s="100">
        <v>3998699593</v>
      </c>
      <c r="P25" s="96">
        <v>22834</v>
      </c>
      <c r="Q25" s="100">
        <v>1178633721</v>
      </c>
      <c r="R25" s="100">
        <v>3641048174</v>
      </c>
      <c r="S25" s="100">
        <v>4819681895</v>
      </c>
      <c r="T25" s="96">
        <v>22851</v>
      </c>
    </row>
    <row r="26" spans="1:20" ht="15" customHeight="1">
      <c r="A26" s="86" t="s">
        <v>84</v>
      </c>
      <c r="B26" s="90" t="s">
        <v>62</v>
      </c>
      <c r="C26" s="77"/>
      <c r="D26" s="77"/>
      <c r="E26" s="101">
        <v>1586044526</v>
      </c>
      <c r="F26" s="101">
        <v>3543700110</v>
      </c>
      <c r="G26" s="101">
        <v>5129744636</v>
      </c>
      <c r="H26" s="97">
        <v>52306</v>
      </c>
      <c r="I26" s="101">
        <v>424129806</v>
      </c>
      <c r="J26" s="101">
        <v>5419334593</v>
      </c>
      <c r="K26" s="101">
        <v>5843464399</v>
      </c>
      <c r="L26" s="97">
        <v>57783</v>
      </c>
      <c r="M26" s="101">
        <v>855127623</v>
      </c>
      <c r="N26" s="101">
        <v>5846378050</v>
      </c>
      <c r="O26" s="101">
        <v>6701505673</v>
      </c>
      <c r="P26" s="97">
        <v>63309</v>
      </c>
      <c r="Q26" s="101">
        <v>916721293</v>
      </c>
      <c r="R26" s="101">
        <v>6810703206</v>
      </c>
      <c r="S26" s="101">
        <v>7727424499</v>
      </c>
      <c r="T26" s="97">
        <v>63403</v>
      </c>
    </row>
    <row r="27" spans="1:20" ht="15" customHeight="1">
      <c r="A27" s="85" t="s">
        <v>84</v>
      </c>
      <c r="B27" s="89" t="s">
        <v>63</v>
      </c>
      <c r="C27" s="76"/>
      <c r="D27" s="76"/>
      <c r="E27" s="100">
        <v>321471297</v>
      </c>
      <c r="F27" s="100">
        <v>529249003</v>
      </c>
      <c r="G27" s="100">
        <v>850720300</v>
      </c>
      <c r="H27" s="96">
        <v>8756</v>
      </c>
      <c r="I27" s="100">
        <v>109245215</v>
      </c>
      <c r="J27" s="100">
        <v>900927719</v>
      </c>
      <c r="K27" s="100">
        <v>1010172934</v>
      </c>
      <c r="L27" s="96">
        <v>9523</v>
      </c>
      <c r="M27" s="100">
        <v>181560600</v>
      </c>
      <c r="N27" s="100">
        <v>1343246534</v>
      </c>
      <c r="O27" s="100">
        <v>1503944251</v>
      </c>
      <c r="P27" s="96">
        <v>10117</v>
      </c>
      <c r="Q27" s="100">
        <v>301597991</v>
      </c>
      <c r="R27" s="100">
        <v>1487472316</v>
      </c>
      <c r="S27" s="100">
        <v>1789070307</v>
      </c>
      <c r="T27" s="96">
        <v>10121</v>
      </c>
    </row>
    <row r="28" spans="1:20" ht="15" customHeight="1">
      <c r="A28" s="86" t="s">
        <v>84</v>
      </c>
      <c r="B28" s="90" t="s">
        <v>64</v>
      </c>
      <c r="C28" s="77"/>
      <c r="D28" s="77"/>
      <c r="E28" s="101">
        <v>4343182530</v>
      </c>
      <c r="F28" s="101">
        <v>8040996890</v>
      </c>
      <c r="G28" s="101">
        <v>12384179420</v>
      </c>
      <c r="H28" s="97">
        <v>102886</v>
      </c>
      <c r="I28" s="101">
        <v>2209835117</v>
      </c>
      <c r="J28" s="101">
        <v>13893532476</v>
      </c>
      <c r="K28" s="101">
        <v>16103367593</v>
      </c>
      <c r="L28" s="97">
        <v>112716</v>
      </c>
      <c r="M28" s="101">
        <v>4105302471</v>
      </c>
      <c r="N28" s="101">
        <v>18379734589</v>
      </c>
      <c r="O28" s="101">
        <v>22485037060</v>
      </c>
      <c r="P28" s="97">
        <v>116856</v>
      </c>
      <c r="Q28" s="101">
        <v>3885006800</v>
      </c>
      <c r="R28" s="101">
        <v>25215217143</v>
      </c>
      <c r="S28" s="101">
        <v>29087723943</v>
      </c>
      <c r="T28" s="97">
        <v>116903</v>
      </c>
    </row>
    <row r="29" spans="1:20" ht="15" customHeight="1">
      <c r="A29" s="85" t="s">
        <v>84</v>
      </c>
      <c r="B29" s="89" t="s">
        <v>65</v>
      </c>
      <c r="C29" s="76"/>
      <c r="D29" s="76"/>
      <c r="E29" s="100">
        <v>133449991</v>
      </c>
      <c r="F29" s="100">
        <v>229335731</v>
      </c>
      <c r="G29" s="100">
        <v>362785722</v>
      </c>
      <c r="H29" s="96">
        <v>3284</v>
      </c>
      <c r="I29" s="100">
        <v>31495401</v>
      </c>
      <c r="J29" s="100">
        <v>415427758</v>
      </c>
      <c r="K29" s="100">
        <v>446923159</v>
      </c>
      <c r="L29" s="96">
        <v>3573</v>
      </c>
      <c r="M29" s="100">
        <v>74806281</v>
      </c>
      <c r="N29" s="100">
        <v>470615556</v>
      </c>
      <c r="O29" s="100">
        <v>545421837</v>
      </c>
      <c r="P29" s="96">
        <v>3719</v>
      </c>
      <c r="Q29" s="100">
        <v>107813101</v>
      </c>
      <c r="R29" s="100">
        <v>517242288</v>
      </c>
      <c r="S29" s="100">
        <v>625055389</v>
      </c>
      <c r="T29" s="96">
        <v>3722</v>
      </c>
    </row>
    <row r="30" spans="1:20" ht="15" customHeight="1">
      <c r="A30" s="86" t="s">
        <v>84</v>
      </c>
      <c r="B30" s="90" t="s">
        <v>66</v>
      </c>
      <c r="C30" s="77"/>
      <c r="D30" s="77"/>
      <c r="E30" s="101">
        <v>717204409</v>
      </c>
      <c r="F30" s="101">
        <v>1312412957</v>
      </c>
      <c r="G30" s="101">
        <v>2029617366</v>
      </c>
      <c r="H30" s="97">
        <v>17199</v>
      </c>
      <c r="I30" s="101">
        <v>130400373</v>
      </c>
      <c r="J30" s="101">
        <v>1991505834</v>
      </c>
      <c r="K30" s="101">
        <v>2121906207</v>
      </c>
      <c r="L30" s="97">
        <v>18391</v>
      </c>
      <c r="M30" s="101">
        <v>299923405</v>
      </c>
      <c r="N30" s="101">
        <v>2091518223</v>
      </c>
      <c r="O30" s="101">
        <v>2391441628</v>
      </c>
      <c r="P30" s="97">
        <v>18731</v>
      </c>
      <c r="Q30" s="101">
        <v>483087609</v>
      </c>
      <c r="R30" s="101">
        <v>2346245461</v>
      </c>
      <c r="S30" s="101">
        <v>2829333070</v>
      </c>
      <c r="T30" s="97">
        <v>18735</v>
      </c>
    </row>
    <row r="31" spans="1:20" ht="15" customHeight="1">
      <c r="A31" s="85" t="s">
        <v>84</v>
      </c>
      <c r="B31" s="89" t="s">
        <v>67</v>
      </c>
      <c r="C31" s="76"/>
      <c r="D31" s="76"/>
      <c r="E31" s="100">
        <v>467699060</v>
      </c>
      <c r="F31" s="100">
        <v>896769697</v>
      </c>
      <c r="G31" s="100">
        <v>1364468757</v>
      </c>
      <c r="H31" s="96">
        <v>13199</v>
      </c>
      <c r="I31" s="100">
        <v>314981833</v>
      </c>
      <c r="J31" s="100">
        <v>1542182693</v>
      </c>
      <c r="K31" s="100">
        <v>1857164526</v>
      </c>
      <c r="L31" s="96">
        <v>14624</v>
      </c>
      <c r="M31" s="100">
        <v>1560031314</v>
      </c>
      <c r="N31" s="100">
        <v>2139975638</v>
      </c>
      <c r="O31" s="100">
        <v>3700006952</v>
      </c>
      <c r="P31" s="96">
        <v>16542</v>
      </c>
      <c r="Q31" s="100">
        <v>625545029</v>
      </c>
      <c r="R31" s="100">
        <v>3974360560</v>
      </c>
      <c r="S31" s="100">
        <v>4599905589</v>
      </c>
      <c r="T31" s="96">
        <v>16557</v>
      </c>
    </row>
    <row r="32" spans="1:20" ht="15" customHeight="1">
      <c r="A32" s="86" t="s">
        <v>84</v>
      </c>
      <c r="B32" s="90" t="s">
        <v>68</v>
      </c>
      <c r="C32" s="77"/>
      <c r="D32" s="77"/>
      <c r="E32" s="101">
        <v>631016120</v>
      </c>
      <c r="F32" s="101">
        <v>1243130209</v>
      </c>
      <c r="G32" s="101">
        <v>1874146329</v>
      </c>
      <c r="H32" s="97">
        <v>15194</v>
      </c>
      <c r="I32" s="101">
        <v>128604924</v>
      </c>
      <c r="J32" s="101">
        <v>1852008424</v>
      </c>
      <c r="K32" s="101">
        <v>1980613348</v>
      </c>
      <c r="L32" s="97">
        <v>16118</v>
      </c>
      <c r="M32" s="101">
        <v>337125179</v>
      </c>
      <c r="N32" s="101">
        <v>1980045827</v>
      </c>
      <c r="O32" s="101">
        <v>2317171006</v>
      </c>
      <c r="P32" s="97">
        <v>17004</v>
      </c>
      <c r="Q32" s="101">
        <v>402347096</v>
      </c>
      <c r="R32" s="101">
        <v>2140693152</v>
      </c>
      <c r="S32" s="101">
        <v>2543040248</v>
      </c>
      <c r="T32" s="97">
        <v>17010</v>
      </c>
    </row>
    <row r="33" spans="1:20" ht="15" customHeight="1">
      <c r="A33" s="85" t="s">
        <v>84</v>
      </c>
      <c r="B33" s="89" t="s">
        <v>69</v>
      </c>
      <c r="C33" s="76"/>
      <c r="D33" s="76"/>
      <c r="E33" s="100">
        <v>8897474371</v>
      </c>
      <c r="F33" s="100">
        <v>15100517604</v>
      </c>
      <c r="G33" s="100">
        <v>23997991975</v>
      </c>
      <c r="H33" s="96">
        <v>207745</v>
      </c>
      <c r="I33" s="100">
        <v>3236324476</v>
      </c>
      <c r="J33" s="100">
        <v>25116434384</v>
      </c>
      <c r="K33" s="100">
        <v>28352758860</v>
      </c>
      <c r="L33" s="96">
        <v>231660</v>
      </c>
      <c r="M33" s="100">
        <v>5241242106</v>
      </c>
      <c r="N33" s="100">
        <v>28725519564</v>
      </c>
      <c r="O33" s="100">
        <v>33966761670</v>
      </c>
      <c r="P33" s="96">
        <v>244811</v>
      </c>
      <c r="Q33" s="100">
        <v>4700375651</v>
      </c>
      <c r="R33" s="100">
        <v>35244839876</v>
      </c>
      <c r="S33" s="100">
        <v>39945215527</v>
      </c>
      <c r="T33" s="96">
        <v>245097</v>
      </c>
    </row>
    <row r="34" spans="1:20" ht="15" customHeight="1">
      <c r="A34" s="86" t="s">
        <v>84</v>
      </c>
      <c r="B34" s="90" t="s">
        <v>70</v>
      </c>
      <c r="C34" s="77"/>
      <c r="D34" s="77"/>
      <c r="E34" s="101">
        <v>567518614</v>
      </c>
      <c r="F34" s="101">
        <v>937887254</v>
      </c>
      <c r="G34" s="101">
        <v>1505405868</v>
      </c>
      <c r="H34" s="97">
        <v>10816</v>
      </c>
      <c r="I34" s="101">
        <v>531025299</v>
      </c>
      <c r="J34" s="101">
        <v>1592920330</v>
      </c>
      <c r="K34" s="101">
        <v>2123945629</v>
      </c>
      <c r="L34" s="97">
        <v>11541</v>
      </c>
      <c r="M34" s="101">
        <v>719834195</v>
      </c>
      <c r="N34" s="101">
        <v>2212043247</v>
      </c>
      <c r="O34" s="101">
        <v>2931877442</v>
      </c>
      <c r="P34" s="97">
        <v>12133</v>
      </c>
      <c r="Q34" s="101">
        <v>695005518</v>
      </c>
      <c r="R34" s="101">
        <v>2940151673</v>
      </c>
      <c r="S34" s="101">
        <v>3635157191</v>
      </c>
      <c r="T34" s="97">
        <v>12138</v>
      </c>
    </row>
    <row r="35" spans="1:20" ht="15" customHeight="1">
      <c r="A35" s="85" t="s">
        <v>84</v>
      </c>
      <c r="B35" s="89" t="s">
        <v>71</v>
      </c>
      <c r="C35" s="76"/>
      <c r="D35" s="76"/>
      <c r="E35" s="100">
        <v>1149804775</v>
      </c>
      <c r="F35" s="100">
        <v>2708240917</v>
      </c>
      <c r="G35" s="100">
        <v>3858045692</v>
      </c>
      <c r="H35" s="96">
        <v>43226</v>
      </c>
      <c r="I35" s="100">
        <v>550912264</v>
      </c>
      <c r="J35" s="100">
        <v>4214478619</v>
      </c>
      <c r="K35" s="100">
        <v>4765390883</v>
      </c>
      <c r="L35" s="96">
        <v>47517</v>
      </c>
      <c r="M35" s="100">
        <v>1752366191</v>
      </c>
      <c r="N35" s="100">
        <v>4660506843</v>
      </c>
      <c r="O35" s="100">
        <v>6412873034</v>
      </c>
      <c r="P35" s="96">
        <v>53762</v>
      </c>
      <c r="Q35" s="100">
        <v>1511454286</v>
      </c>
      <c r="R35" s="100">
        <v>5765470744</v>
      </c>
      <c r="S35" s="100">
        <v>7276925030</v>
      </c>
      <c r="T35" s="96">
        <v>53790</v>
      </c>
    </row>
    <row r="36" spans="1:20" ht="15" customHeight="1">
      <c r="A36" s="86" t="s">
        <v>84</v>
      </c>
      <c r="B36" s="90" t="s">
        <v>72</v>
      </c>
      <c r="C36" s="77"/>
      <c r="D36" s="77"/>
      <c r="E36" s="101">
        <v>1119262442</v>
      </c>
      <c r="F36" s="101">
        <v>2062567143</v>
      </c>
      <c r="G36" s="101">
        <v>3181829585</v>
      </c>
      <c r="H36" s="97">
        <v>24817</v>
      </c>
      <c r="I36" s="101">
        <v>864874523</v>
      </c>
      <c r="J36" s="101">
        <v>3199318343</v>
      </c>
      <c r="K36" s="101">
        <v>4064192866</v>
      </c>
      <c r="L36" s="97">
        <v>27116</v>
      </c>
      <c r="M36" s="101">
        <v>1637374852</v>
      </c>
      <c r="N36" s="101">
        <v>3817626283</v>
      </c>
      <c r="O36" s="101">
        <v>5455001135</v>
      </c>
      <c r="P36" s="97">
        <v>28030</v>
      </c>
      <c r="Q36" s="101">
        <v>1170687475</v>
      </c>
      <c r="R36" s="101">
        <v>4997379508</v>
      </c>
      <c r="S36" s="101">
        <v>6168066983</v>
      </c>
      <c r="T36" s="97">
        <v>28044</v>
      </c>
    </row>
    <row r="37" spans="1:20" ht="15" customHeight="1">
      <c r="A37" s="85" t="s">
        <v>84</v>
      </c>
      <c r="B37" s="89" t="s">
        <v>73</v>
      </c>
      <c r="C37" s="76"/>
      <c r="D37" s="76"/>
      <c r="E37" s="100">
        <v>1361731414</v>
      </c>
      <c r="F37" s="100">
        <v>4097316637</v>
      </c>
      <c r="G37" s="100">
        <v>5459048051</v>
      </c>
      <c r="H37" s="96">
        <v>52648</v>
      </c>
      <c r="I37" s="100">
        <v>248406103</v>
      </c>
      <c r="J37" s="100">
        <v>5655184035</v>
      </c>
      <c r="K37" s="100">
        <v>5903590138</v>
      </c>
      <c r="L37" s="96">
        <v>57236</v>
      </c>
      <c r="M37" s="100">
        <v>592760949</v>
      </c>
      <c r="N37" s="100">
        <v>5898538978</v>
      </c>
      <c r="O37" s="100">
        <v>6491299927</v>
      </c>
      <c r="P37" s="96">
        <v>60636</v>
      </c>
      <c r="Q37" s="100">
        <v>1041894523</v>
      </c>
      <c r="R37" s="100">
        <v>6319139850</v>
      </c>
      <c r="S37" s="100">
        <v>7361034373</v>
      </c>
      <c r="T37" s="96">
        <v>60661</v>
      </c>
    </row>
    <row r="38" spans="1:20" ht="15" customHeight="1">
      <c r="A38" s="86" t="s">
        <v>84</v>
      </c>
      <c r="B38" s="90" t="s">
        <v>74</v>
      </c>
      <c r="C38" s="77"/>
      <c r="D38" s="77"/>
      <c r="E38" s="101">
        <v>279065834</v>
      </c>
      <c r="F38" s="101">
        <v>593402116</v>
      </c>
      <c r="G38" s="101">
        <v>872467950</v>
      </c>
      <c r="H38" s="97">
        <v>7130</v>
      </c>
      <c r="I38" s="101">
        <v>66749933</v>
      </c>
      <c r="J38" s="101">
        <v>882478801</v>
      </c>
      <c r="K38" s="101">
        <v>949228734</v>
      </c>
      <c r="L38" s="97">
        <v>7793</v>
      </c>
      <c r="M38" s="101">
        <v>323776207</v>
      </c>
      <c r="N38" s="101">
        <v>966165520</v>
      </c>
      <c r="O38" s="101">
        <v>1289941727</v>
      </c>
      <c r="P38" s="97">
        <v>8147</v>
      </c>
      <c r="Q38" s="101">
        <v>1060223933</v>
      </c>
      <c r="R38" s="101">
        <v>1102957405</v>
      </c>
      <c r="S38" s="101">
        <v>2163181338</v>
      </c>
      <c r="T38" s="97">
        <v>8154</v>
      </c>
    </row>
    <row r="39" spans="1:20" ht="15" customHeight="1">
      <c r="A39" s="85" t="s">
        <v>84</v>
      </c>
      <c r="B39" s="89" t="s">
        <v>75</v>
      </c>
      <c r="C39" s="76"/>
      <c r="D39" s="76"/>
      <c r="E39" s="100">
        <v>997621780</v>
      </c>
      <c r="F39" s="100">
        <v>1452988497</v>
      </c>
      <c r="G39" s="100">
        <v>2450610277</v>
      </c>
      <c r="H39" s="96">
        <v>20455</v>
      </c>
      <c r="I39" s="100">
        <v>870643315</v>
      </c>
      <c r="J39" s="100">
        <v>2369509611</v>
      </c>
      <c r="K39" s="100">
        <v>3240152926</v>
      </c>
      <c r="L39" s="96">
        <v>22703</v>
      </c>
      <c r="M39" s="100">
        <v>2563119008</v>
      </c>
      <c r="N39" s="100">
        <v>2762913518</v>
      </c>
      <c r="O39" s="100">
        <v>5326032526</v>
      </c>
      <c r="P39" s="96">
        <v>25247</v>
      </c>
      <c r="Q39" s="100">
        <v>1603615741</v>
      </c>
      <c r="R39" s="100">
        <v>4098766528</v>
      </c>
      <c r="S39" s="100">
        <v>5702382269</v>
      </c>
      <c r="T39" s="96">
        <v>25271</v>
      </c>
    </row>
    <row r="40" spans="1:20" ht="15" customHeight="1">
      <c r="A40" s="86" t="s">
        <v>84</v>
      </c>
      <c r="B40" s="90" t="s">
        <v>76</v>
      </c>
      <c r="C40" s="77"/>
      <c r="D40" s="77"/>
      <c r="E40" s="101">
        <v>2039872178</v>
      </c>
      <c r="F40" s="101">
        <v>4858868097</v>
      </c>
      <c r="G40" s="101">
        <v>6898740275</v>
      </c>
      <c r="H40" s="97">
        <v>58112</v>
      </c>
      <c r="I40" s="101">
        <v>1165069295</v>
      </c>
      <c r="J40" s="101">
        <v>6896192858</v>
      </c>
      <c r="K40" s="101">
        <v>8061262153</v>
      </c>
      <c r="L40" s="97">
        <v>62844</v>
      </c>
      <c r="M40" s="101">
        <v>2000714107</v>
      </c>
      <c r="N40" s="101">
        <v>7619135001</v>
      </c>
      <c r="O40" s="101">
        <v>9619849108</v>
      </c>
      <c r="P40" s="97">
        <v>64631</v>
      </c>
      <c r="Q40" s="101">
        <v>837951521</v>
      </c>
      <c r="R40" s="101">
        <v>9166965278</v>
      </c>
      <c r="S40" s="101">
        <v>9999916799</v>
      </c>
      <c r="T40" s="97">
        <v>64646</v>
      </c>
    </row>
    <row r="41" spans="1:20" ht="15" customHeight="1">
      <c r="A41" s="85" t="s">
        <v>84</v>
      </c>
      <c r="B41" s="89" t="s">
        <v>77</v>
      </c>
      <c r="C41" s="76"/>
      <c r="D41" s="76"/>
      <c r="E41" s="100">
        <v>909378599</v>
      </c>
      <c r="F41" s="100">
        <v>1554912574</v>
      </c>
      <c r="G41" s="100">
        <v>2464291173</v>
      </c>
      <c r="H41" s="96">
        <v>18345</v>
      </c>
      <c r="I41" s="100">
        <v>201907151</v>
      </c>
      <c r="J41" s="100">
        <v>2357854088</v>
      </c>
      <c r="K41" s="100">
        <v>2559761239</v>
      </c>
      <c r="L41" s="96">
        <v>19187</v>
      </c>
      <c r="M41" s="100">
        <v>336012456</v>
      </c>
      <c r="N41" s="100">
        <v>2568020975</v>
      </c>
      <c r="O41" s="100">
        <v>2904033431</v>
      </c>
      <c r="P41" s="96">
        <v>19686</v>
      </c>
      <c r="Q41" s="100">
        <v>211393343</v>
      </c>
      <c r="R41" s="100">
        <v>2949641281</v>
      </c>
      <c r="S41" s="100">
        <v>3161034624</v>
      </c>
      <c r="T41" s="96">
        <v>19692</v>
      </c>
    </row>
    <row r="42" spans="1:20" ht="15" customHeight="1">
      <c r="A42" s="86" t="s">
        <v>84</v>
      </c>
      <c r="B42" s="90" t="s">
        <v>78</v>
      </c>
      <c r="C42" s="77"/>
      <c r="D42" s="77"/>
      <c r="E42" s="101">
        <v>1588209169</v>
      </c>
      <c r="F42" s="101">
        <v>3649586937</v>
      </c>
      <c r="G42" s="101">
        <v>5237796106</v>
      </c>
      <c r="H42" s="97">
        <v>49540</v>
      </c>
      <c r="I42" s="101">
        <v>566465859</v>
      </c>
      <c r="J42" s="101">
        <v>5255249396</v>
      </c>
      <c r="K42" s="101">
        <v>5821715255</v>
      </c>
      <c r="L42" s="97">
        <v>52825</v>
      </c>
      <c r="M42" s="101">
        <v>1913728816</v>
      </c>
      <c r="N42" s="101">
        <v>5907246581</v>
      </c>
      <c r="O42" s="101">
        <v>7820975397</v>
      </c>
      <c r="P42" s="97">
        <v>55760</v>
      </c>
      <c r="Q42" s="101">
        <v>1929932780</v>
      </c>
      <c r="R42" s="101">
        <v>7680029495</v>
      </c>
      <c r="S42" s="101">
        <v>9322672707</v>
      </c>
      <c r="T42" s="97">
        <v>55770</v>
      </c>
    </row>
    <row r="43" spans="1:20" ht="15" customHeight="1">
      <c r="A43" s="85" t="s">
        <v>84</v>
      </c>
      <c r="B43" s="89" t="s">
        <v>79</v>
      </c>
      <c r="C43" s="76"/>
      <c r="D43" s="76"/>
      <c r="E43" s="100">
        <v>597685632</v>
      </c>
      <c r="F43" s="100">
        <v>1350297980</v>
      </c>
      <c r="G43" s="100">
        <v>1947983612</v>
      </c>
      <c r="H43" s="96">
        <v>16845</v>
      </c>
      <c r="I43" s="100">
        <v>111826406</v>
      </c>
      <c r="J43" s="100">
        <v>1944201291</v>
      </c>
      <c r="K43" s="100">
        <v>2056027697</v>
      </c>
      <c r="L43" s="96">
        <v>17448</v>
      </c>
      <c r="M43" s="100">
        <v>125509572</v>
      </c>
      <c r="N43" s="100">
        <v>2010797844</v>
      </c>
      <c r="O43" s="100">
        <v>2136307416</v>
      </c>
      <c r="P43" s="96">
        <v>17750</v>
      </c>
      <c r="Q43" s="100">
        <v>302102862</v>
      </c>
      <c r="R43" s="100">
        <v>2202472776</v>
      </c>
      <c r="S43" s="100">
        <v>2504575638</v>
      </c>
      <c r="T43" s="96">
        <v>17756</v>
      </c>
    </row>
    <row r="44" spans="1:20" ht="15" customHeight="1">
      <c r="A44" s="86" t="s">
        <v>84</v>
      </c>
      <c r="B44" s="90" t="s">
        <v>80</v>
      </c>
      <c r="C44" s="77"/>
      <c r="D44" s="77"/>
      <c r="E44" s="101">
        <v>724357919</v>
      </c>
      <c r="F44" s="101">
        <v>1719336016</v>
      </c>
      <c r="G44" s="101">
        <v>2443693935</v>
      </c>
      <c r="H44" s="97">
        <v>19930</v>
      </c>
      <c r="I44" s="101">
        <v>153300750</v>
      </c>
      <c r="J44" s="101">
        <v>2605713300</v>
      </c>
      <c r="K44" s="101">
        <v>2759014050</v>
      </c>
      <c r="L44" s="97">
        <v>20659</v>
      </c>
      <c r="M44" s="101">
        <v>237153352</v>
      </c>
      <c r="N44" s="101">
        <v>2775462231</v>
      </c>
      <c r="O44" s="101">
        <v>3012615583</v>
      </c>
      <c r="P44" s="97">
        <v>21224</v>
      </c>
      <c r="Q44" s="101">
        <v>113950670</v>
      </c>
      <c r="R44" s="101">
        <v>2859368173</v>
      </c>
      <c r="S44" s="101">
        <v>2973318843</v>
      </c>
      <c r="T44" s="97">
        <v>21230</v>
      </c>
    </row>
    <row r="45" spans="1:20" ht="15" customHeight="1" thickBot="1">
      <c r="A45" s="85" t="s">
        <v>84</v>
      </c>
      <c r="B45" s="89" t="s">
        <v>81</v>
      </c>
      <c r="C45" s="76"/>
      <c r="D45" s="76"/>
      <c r="E45" s="100">
        <v>319104018</v>
      </c>
      <c r="F45" s="100">
        <v>360545055</v>
      </c>
      <c r="G45" s="100">
        <v>679649073</v>
      </c>
      <c r="H45" s="96">
        <v>4218</v>
      </c>
      <c r="I45" s="100">
        <v>73415767</v>
      </c>
      <c r="J45" s="100">
        <v>792228768</v>
      </c>
      <c r="K45" s="100">
        <v>865644535</v>
      </c>
      <c r="L45" s="96">
        <v>4441</v>
      </c>
      <c r="M45" s="100">
        <v>183766439</v>
      </c>
      <c r="N45" s="100">
        <v>872015710</v>
      </c>
      <c r="O45" s="100">
        <v>1055782149</v>
      </c>
      <c r="P45" s="96">
        <v>4663</v>
      </c>
      <c r="Q45" s="100">
        <v>248154933</v>
      </c>
      <c r="R45" s="100">
        <v>986453942</v>
      </c>
      <c r="S45" s="100">
        <v>1234608875</v>
      </c>
      <c r="T45" s="96">
        <v>4664</v>
      </c>
    </row>
    <row r="46" spans="1:20" ht="15" customHeight="1">
      <c r="A46" s="83" t="s">
        <v>15</v>
      </c>
      <c r="B46" s="88" t="s">
        <v>5</v>
      </c>
      <c r="C46" s="75"/>
      <c r="D46" s="75"/>
      <c r="E46" s="99">
        <f>SUM(E47:E59)</f>
        <v>101836107699</v>
      </c>
      <c r="F46" s="99">
        <f t="shared" ref="F46:T46" si="6">SUM(F47:F59)</f>
        <v>198883144655</v>
      </c>
      <c r="G46" s="99">
        <f t="shared" si="6"/>
        <v>300719252354</v>
      </c>
      <c r="H46" s="95">
        <f t="shared" si="6"/>
        <v>2318138</v>
      </c>
      <c r="I46" s="99">
        <f t="shared" si="6"/>
        <v>47772112865</v>
      </c>
      <c r="J46" s="99">
        <f t="shared" si="6"/>
        <v>304929099804</v>
      </c>
      <c r="K46" s="99">
        <f t="shared" si="6"/>
        <v>352701212669</v>
      </c>
      <c r="L46" s="95">
        <f t="shared" si="6"/>
        <v>2481994</v>
      </c>
      <c r="M46" s="99">
        <f t="shared" si="6"/>
        <v>89834284492</v>
      </c>
      <c r="N46" s="99">
        <f t="shared" si="6"/>
        <v>348370675185</v>
      </c>
      <c r="O46" s="99">
        <f t="shared" si="6"/>
        <v>438184096794</v>
      </c>
      <c r="P46" s="95">
        <f t="shared" si="6"/>
        <v>2586638</v>
      </c>
      <c r="Q46" s="99">
        <f t="shared" si="6"/>
        <v>108687649567</v>
      </c>
      <c r="R46" s="99">
        <f t="shared" si="6"/>
        <v>431779942533</v>
      </c>
      <c r="S46" s="99">
        <f t="shared" si="6"/>
        <v>540162802532</v>
      </c>
      <c r="T46" s="95">
        <f t="shared" si="6"/>
        <v>2587959</v>
      </c>
    </row>
    <row r="47" spans="1:20" ht="15" customHeight="1">
      <c r="A47" s="85" t="s">
        <v>15</v>
      </c>
      <c r="B47" s="89" t="s">
        <v>21</v>
      </c>
      <c r="C47" s="76">
        <v>0</v>
      </c>
      <c r="D47" s="76"/>
      <c r="E47" s="100">
        <v>64460888275</v>
      </c>
      <c r="F47" s="100">
        <v>130163695546</v>
      </c>
      <c r="G47" s="100">
        <v>194624583821</v>
      </c>
      <c r="H47" s="96">
        <v>1540865</v>
      </c>
      <c r="I47" s="100">
        <v>30306871554</v>
      </c>
      <c r="J47" s="100">
        <v>195509704344</v>
      </c>
      <c r="K47" s="100">
        <v>225816575898</v>
      </c>
      <c r="L47" s="96">
        <v>1641047</v>
      </c>
      <c r="M47" s="100">
        <v>54629336954</v>
      </c>
      <c r="N47" s="100">
        <v>222776501340</v>
      </c>
      <c r="O47" s="100">
        <v>277384975411</v>
      </c>
      <c r="P47" s="96">
        <v>1700072</v>
      </c>
      <c r="Q47" s="100">
        <v>66868667577</v>
      </c>
      <c r="R47" s="100">
        <v>275249658408</v>
      </c>
      <c r="S47" s="100">
        <v>341826036417</v>
      </c>
      <c r="T47" s="96">
        <v>1700807</v>
      </c>
    </row>
    <row r="48" spans="1:20" ht="15" customHeight="1">
      <c r="A48" s="86" t="s">
        <v>15</v>
      </c>
      <c r="B48" s="90" t="s">
        <v>22</v>
      </c>
      <c r="C48" s="77">
        <v>1</v>
      </c>
      <c r="D48" s="77"/>
      <c r="E48" s="101">
        <v>17654704350</v>
      </c>
      <c r="F48" s="101">
        <v>33634237624</v>
      </c>
      <c r="G48" s="101">
        <v>51288941974</v>
      </c>
      <c r="H48" s="97">
        <v>386051</v>
      </c>
      <c r="I48" s="101">
        <v>8385511809</v>
      </c>
      <c r="J48" s="101">
        <v>53510021212</v>
      </c>
      <c r="K48" s="101">
        <v>61895533021</v>
      </c>
      <c r="L48" s="97">
        <v>419692</v>
      </c>
      <c r="M48" s="101">
        <v>15330988595</v>
      </c>
      <c r="N48" s="101">
        <v>61360021452</v>
      </c>
      <c r="O48" s="101">
        <v>76691010047</v>
      </c>
      <c r="P48" s="97">
        <v>434773</v>
      </c>
      <c r="Q48" s="101">
        <v>17075935332</v>
      </c>
      <c r="R48" s="101">
        <v>76193251696</v>
      </c>
      <c r="S48" s="101">
        <v>93256687028</v>
      </c>
      <c r="T48" s="97">
        <v>434953</v>
      </c>
    </row>
    <row r="49" spans="1:95" ht="15" customHeight="1">
      <c r="A49" s="85" t="s">
        <v>15</v>
      </c>
      <c r="B49" s="89" t="s">
        <v>23</v>
      </c>
      <c r="C49" s="76">
        <v>3</v>
      </c>
      <c r="D49" s="76"/>
      <c r="E49" s="100">
        <v>10166522457</v>
      </c>
      <c r="F49" s="100">
        <v>20998850350</v>
      </c>
      <c r="G49" s="100">
        <v>31165372807</v>
      </c>
      <c r="H49" s="96">
        <v>229361</v>
      </c>
      <c r="I49" s="100">
        <v>3731656085</v>
      </c>
      <c r="J49" s="100">
        <v>32227426451</v>
      </c>
      <c r="K49" s="100">
        <v>35959082536</v>
      </c>
      <c r="L49" s="96">
        <v>246526</v>
      </c>
      <c r="M49" s="100">
        <v>8138310506</v>
      </c>
      <c r="N49" s="100">
        <v>36125921864</v>
      </c>
      <c r="O49" s="100">
        <v>44264232370</v>
      </c>
      <c r="P49" s="96">
        <v>258794</v>
      </c>
      <c r="Q49" s="100">
        <v>11171072654</v>
      </c>
      <c r="R49" s="100">
        <v>44081022134</v>
      </c>
      <c r="S49" s="100">
        <v>55252094788</v>
      </c>
      <c r="T49" s="96">
        <v>258976</v>
      </c>
    </row>
    <row r="50" spans="1:95" ht="15" customHeight="1">
      <c r="A50" s="86" t="s">
        <v>15</v>
      </c>
      <c r="B50" s="90" t="s">
        <v>24</v>
      </c>
      <c r="C50" s="77">
        <v>6</v>
      </c>
      <c r="D50" s="77"/>
      <c r="E50" s="101">
        <v>5748565784</v>
      </c>
      <c r="F50" s="101">
        <v>8637829847</v>
      </c>
      <c r="G50" s="101">
        <v>14386395631</v>
      </c>
      <c r="H50" s="97">
        <v>90640</v>
      </c>
      <c r="I50" s="101">
        <v>3592312700</v>
      </c>
      <c r="J50" s="101">
        <v>15246313446</v>
      </c>
      <c r="K50" s="101">
        <v>18838626146</v>
      </c>
      <c r="L50" s="97">
        <v>98908</v>
      </c>
      <c r="M50" s="101">
        <v>7370000482</v>
      </c>
      <c r="N50" s="101">
        <v>18604715552</v>
      </c>
      <c r="O50" s="101">
        <v>25974716034</v>
      </c>
      <c r="P50" s="97">
        <v>104797</v>
      </c>
      <c r="Q50" s="101">
        <v>9898401797</v>
      </c>
      <c r="R50" s="101">
        <v>24921725685</v>
      </c>
      <c r="S50" s="101">
        <v>34820127482</v>
      </c>
      <c r="T50" s="97">
        <v>104908</v>
      </c>
    </row>
    <row r="51" spans="1:95" ht="15" customHeight="1">
      <c r="A51" s="85" t="s">
        <v>15</v>
      </c>
      <c r="B51" s="89" t="s">
        <v>25</v>
      </c>
      <c r="C51" s="76">
        <v>7</v>
      </c>
      <c r="D51" s="76"/>
      <c r="E51" s="100">
        <v>1476209203</v>
      </c>
      <c r="F51" s="100">
        <v>2904241499</v>
      </c>
      <c r="G51" s="100">
        <v>4380450702</v>
      </c>
      <c r="H51" s="96">
        <v>34905</v>
      </c>
      <c r="I51" s="100">
        <v>661590395</v>
      </c>
      <c r="J51" s="100">
        <v>3893516360</v>
      </c>
      <c r="K51" s="100">
        <v>4555106755</v>
      </c>
      <c r="L51" s="96">
        <v>36041</v>
      </c>
      <c r="M51" s="100">
        <v>1433772523</v>
      </c>
      <c r="N51" s="100">
        <v>4264982249</v>
      </c>
      <c r="O51" s="100">
        <v>5698754772</v>
      </c>
      <c r="P51" s="96">
        <v>40950</v>
      </c>
      <c r="Q51" s="100">
        <v>1631989078</v>
      </c>
      <c r="R51" s="100">
        <v>4627550270</v>
      </c>
      <c r="S51" s="100">
        <v>6259539348</v>
      </c>
      <c r="T51" s="96">
        <v>40967</v>
      </c>
    </row>
    <row r="52" spans="1:95" ht="15" customHeight="1">
      <c r="A52" s="86" t="s">
        <v>15</v>
      </c>
      <c r="B52" s="90" t="s">
        <v>28</v>
      </c>
      <c r="C52" s="77">
        <v>8</v>
      </c>
      <c r="D52" s="77"/>
      <c r="E52" s="101">
        <v>33022352</v>
      </c>
      <c r="F52" s="101">
        <v>30947942</v>
      </c>
      <c r="G52" s="101">
        <v>63970294</v>
      </c>
      <c r="H52" s="97">
        <v>1548</v>
      </c>
      <c r="I52" s="101">
        <v>28027857</v>
      </c>
      <c r="J52" s="101">
        <v>46112411</v>
      </c>
      <c r="K52" s="101">
        <v>74140268</v>
      </c>
      <c r="L52" s="97">
        <v>1644</v>
      </c>
      <c r="M52" s="101">
        <v>44067332</v>
      </c>
      <c r="N52" s="101">
        <v>55082785</v>
      </c>
      <c r="O52" s="101">
        <v>99150117</v>
      </c>
      <c r="P52" s="97">
        <v>1899</v>
      </c>
      <c r="Q52" s="101">
        <v>57183452</v>
      </c>
      <c r="R52" s="101">
        <v>70369981</v>
      </c>
      <c r="S52" s="101">
        <v>127553433</v>
      </c>
      <c r="T52" s="97">
        <v>1901</v>
      </c>
    </row>
    <row r="53" spans="1:95" ht="15" customHeight="1">
      <c r="A53" s="85" t="s">
        <v>15</v>
      </c>
      <c r="B53" s="89" t="s">
        <v>26</v>
      </c>
      <c r="C53" s="76">
        <v>9</v>
      </c>
      <c r="D53" s="76"/>
      <c r="E53" s="100">
        <v>998914279</v>
      </c>
      <c r="F53" s="100">
        <v>706340184</v>
      </c>
      <c r="G53" s="100">
        <v>1705254463</v>
      </c>
      <c r="H53" s="96">
        <v>3247</v>
      </c>
      <c r="I53" s="100">
        <v>108505949</v>
      </c>
      <c r="J53" s="100">
        <v>1387236052</v>
      </c>
      <c r="K53" s="100">
        <v>1495742001</v>
      </c>
      <c r="L53" s="96">
        <v>3471</v>
      </c>
      <c r="M53" s="100">
        <v>163983377</v>
      </c>
      <c r="N53" s="100">
        <v>1469896953</v>
      </c>
      <c r="O53" s="100">
        <v>1633880330</v>
      </c>
      <c r="P53" s="96">
        <v>3528</v>
      </c>
      <c r="Q53" s="100">
        <v>155064637</v>
      </c>
      <c r="R53" s="100">
        <v>1599202436</v>
      </c>
      <c r="S53" s="100">
        <v>1754267073</v>
      </c>
      <c r="T53" s="96">
        <v>3531</v>
      </c>
    </row>
    <row r="54" spans="1:95" ht="15" customHeight="1">
      <c r="A54" s="86" t="s">
        <v>15</v>
      </c>
      <c r="B54" s="90" t="s">
        <v>27</v>
      </c>
      <c r="C54" s="77">
        <v>10</v>
      </c>
      <c r="D54" s="77"/>
      <c r="E54" s="101">
        <v>794837225</v>
      </c>
      <c r="F54" s="101">
        <v>940934700</v>
      </c>
      <c r="G54" s="101">
        <v>1735771925</v>
      </c>
      <c r="H54" s="97">
        <v>16759</v>
      </c>
      <c r="I54" s="101">
        <v>317960538</v>
      </c>
      <c r="J54" s="101">
        <v>1655641665</v>
      </c>
      <c r="K54" s="101">
        <v>1973602203</v>
      </c>
      <c r="L54" s="97">
        <v>18120</v>
      </c>
      <c r="M54" s="101">
        <v>812362967</v>
      </c>
      <c r="N54" s="101">
        <v>1900830537</v>
      </c>
      <c r="O54" s="101">
        <v>2713193504</v>
      </c>
      <c r="P54" s="97">
        <v>19267</v>
      </c>
      <c r="Q54" s="101">
        <v>838684086</v>
      </c>
      <c r="R54" s="101">
        <v>2126435423</v>
      </c>
      <c r="S54" s="101">
        <v>2965119509</v>
      </c>
      <c r="T54" s="97">
        <v>19312</v>
      </c>
    </row>
    <row r="55" spans="1:95" ht="15" customHeight="1">
      <c r="A55" s="85" t="s">
        <v>15</v>
      </c>
      <c r="B55" s="89" t="s">
        <v>29</v>
      </c>
      <c r="C55" s="76">
        <v>20</v>
      </c>
      <c r="D55" s="76"/>
      <c r="E55" s="100">
        <v>58302205</v>
      </c>
      <c r="F55" s="100">
        <v>168919025</v>
      </c>
      <c r="G55" s="100">
        <v>227221230</v>
      </c>
      <c r="H55" s="96">
        <v>3759</v>
      </c>
      <c r="I55" s="100">
        <v>128568279</v>
      </c>
      <c r="J55" s="100">
        <v>269434313</v>
      </c>
      <c r="K55" s="100">
        <v>398002592</v>
      </c>
      <c r="L55" s="96">
        <v>4502</v>
      </c>
      <c r="M55" s="100">
        <v>1046203336</v>
      </c>
      <c r="N55" s="100">
        <v>292702429</v>
      </c>
      <c r="O55" s="100">
        <v>1338905765</v>
      </c>
      <c r="P55" s="96">
        <v>7885</v>
      </c>
      <c r="Q55" s="100">
        <v>470569718</v>
      </c>
      <c r="R55" s="100">
        <v>834390019</v>
      </c>
      <c r="S55" s="100">
        <v>1304959737</v>
      </c>
      <c r="T55" s="96">
        <v>7906</v>
      </c>
    </row>
    <row r="56" spans="1:95" ht="15" customHeight="1">
      <c r="A56" s="86" t="s">
        <v>15</v>
      </c>
      <c r="B56" s="90" t="s">
        <v>30</v>
      </c>
      <c r="C56" s="77">
        <v>21</v>
      </c>
      <c r="D56" s="77"/>
      <c r="E56" s="101">
        <v>108828949</v>
      </c>
      <c r="F56" s="101">
        <v>175780109</v>
      </c>
      <c r="G56" s="101">
        <v>284609058</v>
      </c>
      <c r="H56" s="97">
        <v>2914</v>
      </c>
      <c r="I56" s="101">
        <v>92824118</v>
      </c>
      <c r="J56" s="101">
        <v>273812399</v>
      </c>
      <c r="K56" s="101">
        <v>366636517</v>
      </c>
      <c r="L56" s="97">
        <v>3220</v>
      </c>
      <c r="M56" s="101">
        <v>214949122</v>
      </c>
      <c r="N56" s="101">
        <v>301931402</v>
      </c>
      <c r="O56" s="101">
        <v>516880524</v>
      </c>
      <c r="P56" s="97">
        <v>4372</v>
      </c>
      <c r="Q56" s="101">
        <v>294215560</v>
      </c>
      <c r="R56" s="101">
        <v>389839864</v>
      </c>
      <c r="S56" s="101">
        <v>684055424</v>
      </c>
      <c r="T56" s="97">
        <v>4380</v>
      </c>
    </row>
    <row r="57" spans="1:95" ht="15" customHeight="1">
      <c r="A57" s="85" t="s">
        <v>15</v>
      </c>
      <c r="B57" s="89" t="s">
        <v>16</v>
      </c>
      <c r="C57" s="76" t="s">
        <v>16</v>
      </c>
      <c r="D57" s="76"/>
      <c r="E57" s="100">
        <v>11455595</v>
      </c>
      <c r="F57" s="100">
        <v>69756676</v>
      </c>
      <c r="G57" s="100">
        <v>81212271</v>
      </c>
      <c r="H57" s="96">
        <v>1330</v>
      </c>
      <c r="I57" s="100">
        <v>30995153</v>
      </c>
      <c r="J57" s="100">
        <v>110987394</v>
      </c>
      <c r="K57" s="100">
        <v>141982547</v>
      </c>
      <c r="L57" s="96">
        <v>1637</v>
      </c>
      <c r="M57" s="100">
        <v>191188249</v>
      </c>
      <c r="N57" s="100">
        <v>114150831</v>
      </c>
      <c r="O57" s="100">
        <v>305339080</v>
      </c>
      <c r="P57" s="96">
        <v>2699</v>
      </c>
      <c r="Q57" s="100">
        <v>140606140</v>
      </c>
      <c r="R57" s="100">
        <v>258734617</v>
      </c>
      <c r="S57" s="100">
        <v>399340757</v>
      </c>
      <c r="T57" s="96">
        <v>2712</v>
      </c>
    </row>
    <row r="58" spans="1:95" ht="15" customHeight="1">
      <c r="A58" s="86" t="s">
        <v>15</v>
      </c>
      <c r="B58" s="90" t="s">
        <v>17</v>
      </c>
      <c r="C58" s="77" t="s">
        <v>17</v>
      </c>
      <c r="D58" s="77"/>
      <c r="E58" s="101">
        <v>271740872</v>
      </c>
      <c r="F58" s="101">
        <v>388126257</v>
      </c>
      <c r="G58" s="101">
        <v>659867129</v>
      </c>
      <c r="H58" s="97">
        <v>5376</v>
      </c>
      <c r="I58" s="101">
        <v>255229703</v>
      </c>
      <c r="J58" s="101">
        <v>662636601</v>
      </c>
      <c r="K58" s="101">
        <v>917866304</v>
      </c>
      <c r="L58" s="97">
        <v>5619</v>
      </c>
      <c r="M58" s="101">
        <v>339707532</v>
      </c>
      <c r="N58" s="101">
        <v>875835693</v>
      </c>
      <c r="O58" s="101">
        <v>1215543225</v>
      </c>
      <c r="P58" s="97">
        <v>5785</v>
      </c>
      <c r="Q58" s="101">
        <v>65801136</v>
      </c>
      <c r="R58" s="101">
        <v>1082116135</v>
      </c>
      <c r="S58" s="101">
        <v>1147917271</v>
      </c>
      <c r="T58" s="97">
        <v>5788</v>
      </c>
    </row>
    <row r="59" spans="1:95" ht="15" customHeight="1" thickBot="1">
      <c r="A59" s="85" t="s">
        <v>15</v>
      </c>
      <c r="B59" s="89" t="s">
        <v>18</v>
      </c>
      <c r="C59" s="76" t="s">
        <v>18</v>
      </c>
      <c r="D59" s="76"/>
      <c r="E59" s="100">
        <v>52116153</v>
      </c>
      <c r="F59" s="100">
        <v>63484896</v>
      </c>
      <c r="G59" s="100">
        <v>115601049</v>
      </c>
      <c r="H59" s="96">
        <v>1383</v>
      </c>
      <c r="I59" s="100">
        <v>132058725</v>
      </c>
      <c r="J59" s="100">
        <v>136257156</v>
      </c>
      <c r="K59" s="100">
        <v>268315881</v>
      </c>
      <c r="L59" s="96">
        <v>1567</v>
      </c>
      <c r="M59" s="100">
        <v>119413517</v>
      </c>
      <c r="N59" s="100">
        <v>228102098</v>
      </c>
      <c r="O59" s="100">
        <v>347515615</v>
      </c>
      <c r="P59" s="96">
        <v>1817</v>
      </c>
      <c r="Q59" s="100">
        <v>19458400</v>
      </c>
      <c r="R59" s="100">
        <v>345645865</v>
      </c>
      <c r="S59" s="100">
        <v>365104265</v>
      </c>
      <c r="T59" s="96">
        <v>1818</v>
      </c>
    </row>
    <row r="60" spans="1:95">
      <c r="A60" s="83" t="s">
        <v>56</v>
      </c>
      <c r="B60" s="88" t="s">
        <v>5</v>
      </c>
      <c r="C60" s="75"/>
      <c r="D60" s="75"/>
      <c r="E60" s="99">
        <f>SUM(E61:E177)</f>
        <v>101836107699</v>
      </c>
      <c r="F60" s="99">
        <f t="shared" ref="F60:H60" si="7">SUM(F61:F177)</f>
        <v>198883144655</v>
      </c>
      <c r="G60" s="99">
        <f t="shared" si="7"/>
        <v>300719252354</v>
      </c>
      <c r="H60" s="95">
        <f t="shared" si="7"/>
        <v>3091948</v>
      </c>
      <c r="I60" s="99">
        <v>81345983959</v>
      </c>
      <c r="J60" s="99">
        <v>328531576945</v>
      </c>
      <c r="K60" s="99">
        <v>409877560904</v>
      </c>
      <c r="L60" s="95">
        <v>3840344</v>
      </c>
      <c r="M60" s="99">
        <v>132760699849</v>
      </c>
      <c r="N60" s="99">
        <v>373327651021</v>
      </c>
      <c r="O60" s="99">
        <v>506088350870</v>
      </c>
      <c r="P60" s="95">
        <v>3999925</v>
      </c>
      <c r="Q60" s="99"/>
      <c r="R60" s="99"/>
      <c r="S60" s="99"/>
      <c r="T60" s="95"/>
    </row>
    <row r="61" spans="1:95">
      <c r="A61" s="85" t="s">
        <v>56</v>
      </c>
      <c r="B61" s="89"/>
      <c r="C61" s="76">
        <v>0</v>
      </c>
      <c r="D61" s="76">
        <v>1</v>
      </c>
      <c r="E61" s="100">
        <v>587923272</v>
      </c>
      <c r="F61" s="100">
        <v>335876881</v>
      </c>
      <c r="G61" s="100">
        <v>923800153</v>
      </c>
      <c r="H61" s="96">
        <v>12764</v>
      </c>
      <c r="I61" s="100">
        <v>1018377640</v>
      </c>
      <c r="J61" s="100">
        <v>807255448</v>
      </c>
      <c r="K61" s="100">
        <v>1825633088</v>
      </c>
      <c r="L61" s="96">
        <v>13926</v>
      </c>
      <c r="M61" s="100">
        <v>2293132794</v>
      </c>
      <c r="N61" s="100">
        <v>1444152398</v>
      </c>
      <c r="O61" s="100">
        <v>3737285192</v>
      </c>
      <c r="P61" s="96">
        <v>15125</v>
      </c>
      <c r="Q61" s="100">
        <v>3782144488</v>
      </c>
      <c r="R61" s="100">
        <v>2578288808</v>
      </c>
      <c r="S61" s="100">
        <v>6360433296</v>
      </c>
      <c r="T61" s="96">
        <v>15182</v>
      </c>
    </row>
    <row r="62" spans="1:95">
      <c r="A62" s="86" t="s">
        <v>56</v>
      </c>
      <c r="B62" s="90"/>
      <c r="C62" s="77">
        <v>0</v>
      </c>
      <c r="D62" s="77">
        <v>2</v>
      </c>
      <c r="E62" s="101">
        <v>9038882378</v>
      </c>
      <c r="F62" s="101">
        <v>7871507744</v>
      </c>
      <c r="G62" s="101">
        <v>16910390122</v>
      </c>
      <c r="H62" s="97">
        <v>110056</v>
      </c>
      <c r="I62" s="101">
        <v>15908754066</v>
      </c>
      <c r="J62" s="101">
        <v>19244844518</v>
      </c>
      <c r="K62" s="101">
        <v>35153598584</v>
      </c>
      <c r="L62" s="97">
        <v>123808</v>
      </c>
      <c r="M62" s="101">
        <v>34757905661</v>
      </c>
      <c r="N62" s="101">
        <v>37418810206</v>
      </c>
      <c r="O62" s="101">
        <v>72155852984</v>
      </c>
      <c r="P62" s="97">
        <v>127846</v>
      </c>
      <c r="Q62" s="101">
        <v>49559153373</v>
      </c>
      <c r="R62" s="101">
        <v>77669460116</v>
      </c>
      <c r="S62" s="101">
        <v>126936323921</v>
      </c>
      <c r="T62" s="97">
        <v>128408</v>
      </c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</row>
    <row r="63" spans="1:95">
      <c r="A63" s="85" t="s">
        <v>56</v>
      </c>
      <c r="B63" s="89"/>
      <c r="C63" s="76">
        <v>0</v>
      </c>
      <c r="D63" s="76">
        <v>3</v>
      </c>
      <c r="E63" s="100">
        <v>16570928860</v>
      </c>
      <c r="F63" s="100">
        <v>23462551690</v>
      </c>
      <c r="G63" s="100">
        <v>40033480550</v>
      </c>
      <c r="H63" s="96">
        <v>917678</v>
      </c>
      <c r="I63" s="100">
        <v>10640916334</v>
      </c>
      <c r="J63" s="100">
        <v>37244577634</v>
      </c>
      <c r="K63" s="100">
        <v>47885493968</v>
      </c>
      <c r="L63" s="96">
        <v>958867</v>
      </c>
      <c r="M63" s="100">
        <v>16172301855</v>
      </c>
      <c r="N63" s="100">
        <v>42456364360</v>
      </c>
      <c r="O63" s="100">
        <v>58628666215</v>
      </c>
      <c r="P63" s="96">
        <v>1029846</v>
      </c>
      <c r="Q63" s="100">
        <v>11936909454</v>
      </c>
      <c r="R63" s="100">
        <v>50838170229</v>
      </c>
      <c r="S63" s="100">
        <v>62775079683</v>
      </c>
      <c r="T63" s="96">
        <v>1030602</v>
      </c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</row>
    <row r="64" spans="1:95">
      <c r="A64" s="86" t="s">
        <v>56</v>
      </c>
      <c r="B64" s="90"/>
      <c r="C64" s="77">
        <v>0</v>
      </c>
      <c r="D64" s="77">
        <v>4</v>
      </c>
      <c r="E64" s="101">
        <v>2123349172</v>
      </c>
      <c r="F64" s="101">
        <v>16031940085</v>
      </c>
      <c r="G64" s="101">
        <v>18155289257</v>
      </c>
      <c r="H64" s="97">
        <v>194646</v>
      </c>
      <c r="I64" s="101">
        <v>109913980</v>
      </c>
      <c r="J64" s="101">
        <v>18761599261</v>
      </c>
      <c r="K64" s="101">
        <v>18871513241</v>
      </c>
      <c r="L64" s="97">
        <v>205143</v>
      </c>
      <c r="M64" s="101">
        <v>23355907</v>
      </c>
      <c r="N64" s="101">
        <v>18857217902</v>
      </c>
      <c r="O64" s="101">
        <v>18880573809</v>
      </c>
      <c r="P64" s="97">
        <v>205235</v>
      </c>
      <c r="Q64" s="101">
        <v>44986298</v>
      </c>
      <c r="R64" s="101">
        <v>18896857498</v>
      </c>
      <c r="S64" s="101">
        <v>18941843796</v>
      </c>
      <c r="T64" s="97">
        <v>205246</v>
      </c>
    </row>
    <row r="65" spans="1:20">
      <c r="A65" s="85" t="s">
        <v>56</v>
      </c>
      <c r="B65" s="89"/>
      <c r="C65" s="76">
        <v>0</v>
      </c>
      <c r="D65" s="76">
        <v>5</v>
      </c>
      <c r="E65" s="100">
        <v>5966921747</v>
      </c>
      <c r="F65" s="100">
        <v>15228131242</v>
      </c>
      <c r="G65" s="100">
        <v>21195052989</v>
      </c>
      <c r="H65" s="96">
        <v>24412</v>
      </c>
      <c r="I65" s="100">
        <v>266461930</v>
      </c>
      <c r="J65" s="100">
        <v>20866127835</v>
      </c>
      <c r="K65" s="100">
        <v>21132589765</v>
      </c>
      <c r="L65" s="96">
        <v>25995</v>
      </c>
      <c r="M65" s="100">
        <v>230007321</v>
      </c>
      <c r="N65" s="100">
        <v>21286021713</v>
      </c>
      <c r="O65" s="100">
        <v>21516029034</v>
      </c>
      <c r="P65" s="96">
        <v>26135</v>
      </c>
      <c r="Q65" s="100">
        <v>187100413</v>
      </c>
      <c r="R65" s="100">
        <v>21891828299</v>
      </c>
      <c r="S65" s="100">
        <v>22078928712</v>
      </c>
      <c r="T65" s="96">
        <v>26229</v>
      </c>
    </row>
    <row r="66" spans="1:20">
      <c r="A66" s="86" t="s">
        <v>56</v>
      </c>
      <c r="B66" s="90"/>
      <c r="C66" s="77">
        <v>0</v>
      </c>
      <c r="D66" s="77">
        <v>6</v>
      </c>
      <c r="E66" s="101">
        <v>160665072</v>
      </c>
      <c r="F66" s="101">
        <v>403147704</v>
      </c>
      <c r="G66" s="101">
        <v>563812776</v>
      </c>
      <c r="H66" s="97">
        <v>3146</v>
      </c>
      <c r="I66" s="101">
        <v>9778992</v>
      </c>
      <c r="J66" s="101">
        <v>578793069</v>
      </c>
      <c r="K66" s="101">
        <v>588572061</v>
      </c>
      <c r="L66" s="97">
        <v>3292</v>
      </c>
      <c r="M66" s="101">
        <v>13394926</v>
      </c>
      <c r="N66" s="101">
        <v>605482895</v>
      </c>
      <c r="O66" s="101">
        <v>618877821</v>
      </c>
      <c r="P66" s="97">
        <v>3302</v>
      </c>
      <c r="Q66" s="101">
        <v>22619975</v>
      </c>
      <c r="R66" s="101">
        <v>626501665</v>
      </c>
      <c r="S66" s="101">
        <v>649121640</v>
      </c>
      <c r="T66" s="97">
        <v>3305</v>
      </c>
    </row>
    <row r="67" spans="1:20">
      <c r="A67" s="85" t="s">
        <v>56</v>
      </c>
      <c r="B67" s="89"/>
      <c r="C67" s="76">
        <v>0</v>
      </c>
      <c r="D67" s="76">
        <v>7</v>
      </c>
      <c r="E67" s="100">
        <v>592406263</v>
      </c>
      <c r="F67" s="100">
        <v>1611697587</v>
      </c>
      <c r="G67" s="100">
        <v>2204103850</v>
      </c>
      <c r="H67" s="96">
        <v>2350</v>
      </c>
      <c r="I67" s="100">
        <v>62391306</v>
      </c>
      <c r="J67" s="100">
        <v>2252325087</v>
      </c>
      <c r="K67" s="100">
        <v>2314716393</v>
      </c>
      <c r="L67" s="96">
        <v>2615</v>
      </c>
      <c r="M67" s="100">
        <v>75976165</v>
      </c>
      <c r="N67" s="100">
        <v>2285901592</v>
      </c>
      <c r="O67" s="100">
        <v>2361877757</v>
      </c>
      <c r="P67" s="96">
        <v>2619</v>
      </c>
      <c r="Q67" s="100">
        <v>30688904</v>
      </c>
      <c r="R67" s="100">
        <v>2390007129</v>
      </c>
      <c r="S67" s="100">
        <v>2420696033</v>
      </c>
      <c r="T67" s="96">
        <v>2622</v>
      </c>
    </row>
    <row r="68" spans="1:20">
      <c r="A68" s="86" t="s">
        <v>56</v>
      </c>
      <c r="B68" s="90"/>
      <c r="C68" s="77">
        <v>0</v>
      </c>
      <c r="D68" s="77">
        <v>8</v>
      </c>
      <c r="E68" s="101">
        <v>22253943644</v>
      </c>
      <c r="F68" s="101">
        <v>52445944087</v>
      </c>
      <c r="G68" s="101">
        <v>74699887731</v>
      </c>
      <c r="H68" s="97">
        <v>822444</v>
      </c>
      <c r="I68" s="101">
        <v>1595829000</v>
      </c>
      <c r="J68" s="101">
        <v>74697847234</v>
      </c>
      <c r="K68" s="101">
        <v>76293676234</v>
      </c>
      <c r="L68" s="97">
        <v>883615</v>
      </c>
      <c r="M68" s="101">
        <v>564805165</v>
      </c>
      <c r="N68" s="101">
        <v>76503274337</v>
      </c>
      <c r="O68" s="101">
        <v>77068079502</v>
      </c>
      <c r="P68" s="97">
        <v>884533</v>
      </c>
      <c r="Q68" s="101">
        <v>680479424</v>
      </c>
      <c r="R68" s="101">
        <v>77423815621</v>
      </c>
      <c r="S68" s="101">
        <v>78104295045</v>
      </c>
      <c r="T68" s="97">
        <v>884639</v>
      </c>
    </row>
    <row r="69" spans="1:20">
      <c r="A69" s="85" t="s">
        <v>56</v>
      </c>
      <c r="B69" s="89"/>
      <c r="C69" s="76">
        <v>0</v>
      </c>
      <c r="D69" s="76">
        <v>9</v>
      </c>
      <c r="E69" s="100">
        <v>7165867867</v>
      </c>
      <c r="F69" s="100">
        <v>12772898526</v>
      </c>
      <c r="G69" s="100">
        <v>19938766393</v>
      </c>
      <c r="H69" s="96">
        <v>21540</v>
      </c>
      <c r="I69" s="100">
        <v>694448306</v>
      </c>
      <c r="J69" s="100">
        <v>21056334258</v>
      </c>
      <c r="K69" s="100">
        <v>21750782564</v>
      </c>
      <c r="L69" s="96">
        <v>24603</v>
      </c>
      <c r="M69" s="100">
        <v>498457160</v>
      </c>
      <c r="N69" s="100">
        <v>21919275937</v>
      </c>
      <c r="O69" s="100">
        <v>22417733097</v>
      </c>
      <c r="P69" s="96">
        <v>24692</v>
      </c>
      <c r="Q69" s="100">
        <v>624585248</v>
      </c>
      <c r="R69" s="100">
        <v>22934729043</v>
      </c>
      <c r="S69" s="100">
        <v>23559314291</v>
      </c>
      <c r="T69" s="96">
        <v>24712</v>
      </c>
    </row>
    <row r="70" spans="1:20">
      <c r="A70" s="86" t="s">
        <v>56</v>
      </c>
      <c r="B70" s="90"/>
      <c r="C70" s="77">
        <v>1</v>
      </c>
      <c r="D70" s="77">
        <v>1</v>
      </c>
      <c r="E70" s="101">
        <v>193350242</v>
      </c>
      <c r="F70" s="101">
        <v>82048378</v>
      </c>
      <c r="G70" s="101">
        <v>275398620</v>
      </c>
      <c r="H70" s="97">
        <v>2837</v>
      </c>
      <c r="I70" s="101">
        <v>324114006</v>
      </c>
      <c r="J70" s="101">
        <v>231504325</v>
      </c>
      <c r="K70" s="101">
        <v>555618331</v>
      </c>
      <c r="L70" s="97">
        <v>3194</v>
      </c>
      <c r="M70" s="101">
        <v>544790419</v>
      </c>
      <c r="N70" s="101">
        <v>413682646</v>
      </c>
      <c r="O70" s="101">
        <v>958473065</v>
      </c>
      <c r="P70" s="97">
        <v>3473</v>
      </c>
      <c r="Q70" s="101">
        <v>825259892</v>
      </c>
      <c r="R70" s="101">
        <v>831227040</v>
      </c>
      <c r="S70" s="101">
        <v>1656486932</v>
      </c>
      <c r="T70" s="97">
        <v>3485</v>
      </c>
    </row>
    <row r="71" spans="1:20">
      <c r="A71" s="85" t="s">
        <v>56</v>
      </c>
      <c r="B71" s="89"/>
      <c r="C71" s="76">
        <v>1</v>
      </c>
      <c r="D71" s="76">
        <v>2</v>
      </c>
      <c r="E71" s="100">
        <v>2182003104</v>
      </c>
      <c r="F71" s="100">
        <v>1741994139</v>
      </c>
      <c r="G71" s="100">
        <v>3923997243</v>
      </c>
      <c r="H71" s="96">
        <v>23570</v>
      </c>
      <c r="I71" s="100">
        <v>4133084703</v>
      </c>
      <c r="J71" s="100">
        <v>4719846950</v>
      </c>
      <c r="K71" s="100">
        <v>8852931653</v>
      </c>
      <c r="L71" s="96">
        <v>27161</v>
      </c>
      <c r="M71" s="100">
        <v>9996464106</v>
      </c>
      <c r="N71" s="100">
        <v>9656115018</v>
      </c>
      <c r="O71" s="100">
        <v>19652579124</v>
      </c>
      <c r="P71" s="96">
        <v>28308</v>
      </c>
      <c r="Q71" s="100">
        <v>12536933723</v>
      </c>
      <c r="R71" s="100">
        <v>21047488108</v>
      </c>
      <c r="S71" s="100">
        <v>33571921831</v>
      </c>
      <c r="T71" s="96">
        <v>28460</v>
      </c>
    </row>
    <row r="72" spans="1:20">
      <c r="A72" s="86" t="s">
        <v>56</v>
      </c>
      <c r="B72" s="90"/>
      <c r="C72" s="77">
        <v>1</v>
      </c>
      <c r="D72" s="77">
        <v>3</v>
      </c>
      <c r="E72" s="101">
        <v>4046842279</v>
      </c>
      <c r="F72" s="101">
        <v>6320262889</v>
      </c>
      <c r="G72" s="101">
        <v>10367105168</v>
      </c>
      <c r="H72" s="97">
        <v>207904</v>
      </c>
      <c r="I72" s="101">
        <v>2721233634</v>
      </c>
      <c r="J72" s="101">
        <v>10447863922</v>
      </c>
      <c r="K72" s="101">
        <v>13169097556</v>
      </c>
      <c r="L72" s="97">
        <v>221030</v>
      </c>
      <c r="M72" s="101">
        <v>4201542311</v>
      </c>
      <c r="N72" s="101">
        <v>11932841305</v>
      </c>
      <c r="O72" s="101">
        <v>16134383616</v>
      </c>
      <c r="P72" s="97">
        <v>240073</v>
      </c>
      <c r="Q72" s="101">
        <v>3240810755</v>
      </c>
      <c r="R72" s="101">
        <v>13899336763</v>
      </c>
      <c r="S72" s="101">
        <v>17140147518</v>
      </c>
      <c r="T72" s="97">
        <v>240273</v>
      </c>
    </row>
    <row r="73" spans="1:20">
      <c r="A73" s="85" t="s">
        <v>56</v>
      </c>
      <c r="B73" s="89"/>
      <c r="C73" s="76">
        <v>1</v>
      </c>
      <c r="D73" s="76">
        <v>4</v>
      </c>
      <c r="E73" s="100">
        <v>744260990</v>
      </c>
      <c r="F73" s="100">
        <v>5457995028</v>
      </c>
      <c r="G73" s="100">
        <v>6202256018</v>
      </c>
      <c r="H73" s="96">
        <v>57863</v>
      </c>
      <c r="I73" s="100">
        <v>60439993</v>
      </c>
      <c r="J73" s="100">
        <v>6568176775</v>
      </c>
      <c r="K73" s="100">
        <v>6628616768</v>
      </c>
      <c r="L73" s="96">
        <v>62081</v>
      </c>
      <c r="M73" s="100">
        <v>15181253</v>
      </c>
      <c r="N73" s="100">
        <v>6599265769</v>
      </c>
      <c r="O73" s="100">
        <v>6614447022</v>
      </c>
      <c r="P73" s="96">
        <v>62118</v>
      </c>
      <c r="Q73" s="100">
        <v>12825974</v>
      </c>
      <c r="R73" s="100">
        <v>6618184644</v>
      </c>
      <c r="S73" s="100">
        <v>6631010618</v>
      </c>
      <c r="T73" s="96">
        <v>62120</v>
      </c>
    </row>
    <row r="74" spans="1:20">
      <c r="A74" s="86" t="s">
        <v>56</v>
      </c>
      <c r="B74" s="90"/>
      <c r="C74" s="77">
        <v>1</v>
      </c>
      <c r="D74" s="77">
        <v>5</v>
      </c>
      <c r="E74" s="101">
        <v>1922354791</v>
      </c>
      <c r="F74" s="101">
        <v>4446961045</v>
      </c>
      <c r="G74" s="101">
        <v>6369315836</v>
      </c>
      <c r="H74" s="97">
        <v>4403</v>
      </c>
      <c r="I74" s="101">
        <v>64832491</v>
      </c>
      <c r="J74" s="101">
        <v>6397413371</v>
      </c>
      <c r="K74" s="101">
        <v>6462245862</v>
      </c>
      <c r="L74" s="97">
        <v>4777</v>
      </c>
      <c r="M74" s="101">
        <v>134961281</v>
      </c>
      <c r="N74" s="101">
        <v>6512068790</v>
      </c>
      <c r="O74" s="101">
        <v>6647030071</v>
      </c>
      <c r="P74" s="97">
        <v>4814</v>
      </c>
      <c r="Q74" s="101">
        <v>97052057</v>
      </c>
      <c r="R74" s="101">
        <v>7051492952</v>
      </c>
      <c r="S74" s="101">
        <v>7148545009</v>
      </c>
      <c r="T74" s="97">
        <v>4838</v>
      </c>
    </row>
    <row r="75" spans="1:20">
      <c r="A75" s="85" t="s">
        <v>56</v>
      </c>
      <c r="B75" s="89"/>
      <c r="C75" s="76">
        <v>1</v>
      </c>
      <c r="D75" s="76">
        <v>6</v>
      </c>
      <c r="E75" s="100">
        <v>56638873</v>
      </c>
      <c r="F75" s="100">
        <v>120363768</v>
      </c>
      <c r="G75" s="100">
        <v>177002641</v>
      </c>
      <c r="H75" s="96">
        <v>788</v>
      </c>
      <c r="I75" s="100">
        <v>1620903</v>
      </c>
      <c r="J75" s="100">
        <v>184088764</v>
      </c>
      <c r="K75" s="100">
        <v>185709667</v>
      </c>
      <c r="L75" s="96">
        <v>838</v>
      </c>
      <c r="M75" s="100">
        <v>3500149</v>
      </c>
      <c r="N75" s="100">
        <v>185581499</v>
      </c>
      <c r="O75" s="100">
        <v>189081648</v>
      </c>
      <c r="P75" s="96">
        <v>839</v>
      </c>
      <c r="Q75" s="100">
        <v>820357</v>
      </c>
      <c r="R75" s="100">
        <v>187490616</v>
      </c>
      <c r="S75" s="100">
        <v>188310973</v>
      </c>
      <c r="T75" s="96">
        <v>840</v>
      </c>
    </row>
    <row r="76" spans="1:20">
      <c r="A76" s="86" t="s">
        <v>56</v>
      </c>
      <c r="B76" s="90"/>
      <c r="C76" s="77">
        <v>1</v>
      </c>
      <c r="D76" s="77">
        <v>7</v>
      </c>
      <c r="E76" s="101">
        <v>208344125</v>
      </c>
      <c r="F76" s="101">
        <v>540397701</v>
      </c>
      <c r="G76" s="101">
        <v>748741826</v>
      </c>
      <c r="H76" s="97">
        <v>521</v>
      </c>
      <c r="I76" s="101">
        <v>16774577</v>
      </c>
      <c r="J76" s="101">
        <v>807293110</v>
      </c>
      <c r="K76" s="101">
        <v>824067687</v>
      </c>
      <c r="L76" s="97">
        <v>600</v>
      </c>
      <c r="M76" s="101">
        <v>2559215</v>
      </c>
      <c r="N76" s="101">
        <v>831411828</v>
      </c>
      <c r="O76" s="101">
        <v>833971043</v>
      </c>
      <c r="P76" s="97">
        <v>604</v>
      </c>
      <c r="Q76" s="101">
        <v>502126</v>
      </c>
      <c r="R76" s="101">
        <v>831445587</v>
      </c>
      <c r="S76" s="101">
        <v>831947713</v>
      </c>
      <c r="T76" s="97">
        <v>604</v>
      </c>
    </row>
    <row r="77" spans="1:20">
      <c r="A77" s="85" t="s">
        <v>56</v>
      </c>
      <c r="B77" s="89"/>
      <c r="C77" s="76">
        <v>1</v>
      </c>
      <c r="D77" s="76">
        <v>8</v>
      </c>
      <c r="E77" s="100">
        <v>6117787205</v>
      </c>
      <c r="F77" s="100">
        <v>12152693519</v>
      </c>
      <c r="G77" s="100">
        <v>18270480724</v>
      </c>
      <c r="H77" s="96">
        <v>202154</v>
      </c>
      <c r="I77" s="100">
        <v>747964172</v>
      </c>
      <c r="J77" s="100">
        <v>18690112377</v>
      </c>
      <c r="K77" s="100">
        <v>19438076549</v>
      </c>
      <c r="L77" s="96">
        <v>222535</v>
      </c>
      <c r="M77" s="100">
        <v>291803661</v>
      </c>
      <c r="N77" s="100">
        <v>19425409671</v>
      </c>
      <c r="O77" s="100">
        <v>19717213332</v>
      </c>
      <c r="P77" s="96">
        <v>222813</v>
      </c>
      <c r="Q77" s="100">
        <v>272158935</v>
      </c>
      <c r="R77" s="100">
        <v>19636797287</v>
      </c>
      <c r="S77" s="100">
        <v>19908956222</v>
      </c>
      <c r="T77" s="96">
        <v>222845</v>
      </c>
    </row>
    <row r="78" spans="1:20">
      <c r="A78" s="86" t="s">
        <v>56</v>
      </c>
      <c r="B78" s="90"/>
      <c r="C78" s="77">
        <v>1</v>
      </c>
      <c r="D78" s="77">
        <v>9</v>
      </c>
      <c r="E78" s="101">
        <v>2183122741</v>
      </c>
      <c r="F78" s="101">
        <v>2771521157</v>
      </c>
      <c r="G78" s="101">
        <v>4954643898</v>
      </c>
      <c r="H78" s="97">
        <v>3537</v>
      </c>
      <c r="I78" s="101">
        <v>315447330</v>
      </c>
      <c r="J78" s="101">
        <v>5463721618</v>
      </c>
      <c r="K78" s="101">
        <v>5779168948</v>
      </c>
      <c r="L78" s="97">
        <v>4236</v>
      </c>
      <c r="M78" s="101">
        <v>140186200</v>
      </c>
      <c r="N78" s="101">
        <v>5803644926</v>
      </c>
      <c r="O78" s="101">
        <v>5943831126</v>
      </c>
      <c r="P78" s="97">
        <v>4257</v>
      </c>
      <c r="Q78" s="101">
        <v>89571513</v>
      </c>
      <c r="R78" s="101">
        <v>6089788699</v>
      </c>
      <c r="S78" s="101">
        <v>6179360212</v>
      </c>
      <c r="T78" s="97">
        <v>4263</v>
      </c>
    </row>
    <row r="79" spans="1:20">
      <c r="A79" s="85" t="s">
        <v>56</v>
      </c>
      <c r="B79" s="89"/>
      <c r="C79" s="76">
        <v>3</v>
      </c>
      <c r="D79" s="76">
        <v>1</v>
      </c>
      <c r="E79" s="100">
        <v>59226644</v>
      </c>
      <c r="F79" s="100">
        <v>28920817</v>
      </c>
      <c r="G79" s="100">
        <v>88147461</v>
      </c>
      <c r="H79" s="96">
        <v>1299</v>
      </c>
      <c r="I79" s="100">
        <v>105914700</v>
      </c>
      <c r="J79" s="100">
        <v>92655545</v>
      </c>
      <c r="K79" s="100">
        <v>198570245</v>
      </c>
      <c r="L79" s="96">
        <v>1478</v>
      </c>
      <c r="M79" s="100">
        <v>239225109</v>
      </c>
      <c r="N79" s="100">
        <v>162883451</v>
      </c>
      <c r="O79" s="100">
        <v>402108560</v>
      </c>
      <c r="P79" s="96">
        <v>1640</v>
      </c>
      <c r="Q79" s="100">
        <v>702482052</v>
      </c>
      <c r="R79" s="100">
        <v>274028694</v>
      </c>
      <c r="S79" s="100">
        <v>976510746</v>
      </c>
      <c r="T79" s="96">
        <v>1650</v>
      </c>
    </row>
    <row r="80" spans="1:20">
      <c r="A80" s="86" t="s">
        <v>56</v>
      </c>
      <c r="B80" s="90"/>
      <c r="C80" s="77">
        <v>3</v>
      </c>
      <c r="D80" s="77">
        <v>2</v>
      </c>
      <c r="E80" s="101">
        <v>1348856947</v>
      </c>
      <c r="F80" s="101">
        <v>1033876111</v>
      </c>
      <c r="G80" s="101">
        <v>2382733058</v>
      </c>
      <c r="H80" s="97">
        <v>12313</v>
      </c>
      <c r="I80" s="101">
        <v>2125053827</v>
      </c>
      <c r="J80" s="101">
        <v>2649341968</v>
      </c>
      <c r="K80" s="101">
        <v>4774395795</v>
      </c>
      <c r="L80" s="97">
        <v>14082</v>
      </c>
      <c r="M80" s="101">
        <v>5793084143</v>
      </c>
      <c r="N80" s="101">
        <v>5230147392</v>
      </c>
      <c r="O80" s="101">
        <v>11023231535</v>
      </c>
      <c r="P80" s="97">
        <v>14739</v>
      </c>
      <c r="Q80" s="101">
        <v>8389536312</v>
      </c>
      <c r="R80" s="101">
        <v>11553360953</v>
      </c>
      <c r="S80" s="101">
        <v>19942897265</v>
      </c>
      <c r="T80" s="97">
        <v>14857</v>
      </c>
    </row>
    <row r="81" spans="1:20">
      <c r="A81" s="85" t="s">
        <v>56</v>
      </c>
      <c r="B81" s="89"/>
      <c r="C81" s="76">
        <v>3</v>
      </c>
      <c r="D81" s="76">
        <v>3</v>
      </c>
      <c r="E81" s="100">
        <v>2436297887</v>
      </c>
      <c r="F81" s="100">
        <v>4787824080</v>
      </c>
      <c r="G81" s="100">
        <v>7224121967</v>
      </c>
      <c r="H81" s="96">
        <v>128522</v>
      </c>
      <c r="I81" s="100">
        <v>1154472901</v>
      </c>
      <c r="J81" s="100">
        <v>7268292029</v>
      </c>
      <c r="K81" s="100">
        <v>8422764930</v>
      </c>
      <c r="L81" s="96">
        <v>135922</v>
      </c>
      <c r="M81" s="100">
        <v>1896722870</v>
      </c>
      <c r="N81" s="100">
        <v>7826792150</v>
      </c>
      <c r="O81" s="100">
        <v>9723515020</v>
      </c>
      <c r="P81" s="96">
        <v>150347</v>
      </c>
      <c r="Q81" s="100">
        <v>1785279111</v>
      </c>
      <c r="R81" s="100">
        <v>8991561086</v>
      </c>
      <c r="S81" s="100">
        <v>10776840197</v>
      </c>
      <c r="T81" s="96">
        <v>150533</v>
      </c>
    </row>
    <row r="82" spans="1:20">
      <c r="A82" s="86" t="s">
        <v>56</v>
      </c>
      <c r="B82" s="90"/>
      <c r="C82" s="77">
        <v>3</v>
      </c>
      <c r="D82" s="77">
        <v>4</v>
      </c>
      <c r="E82" s="101">
        <v>347112635</v>
      </c>
      <c r="F82" s="101">
        <v>3988322211</v>
      </c>
      <c r="G82" s="101">
        <v>4335434846</v>
      </c>
      <c r="H82" s="97">
        <v>35363</v>
      </c>
      <c r="I82" s="101">
        <v>16241245</v>
      </c>
      <c r="J82" s="101">
        <v>4766689550</v>
      </c>
      <c r="K82" s="101">
        <v>4782930795</v>
      </c>
      <c r="L82" s="97">
        <v>37136</v>
      </c>
      <c r="M82" s="101">
        <v>3291953</v>
      </c>
      <c r="N82" s="101">
        <v>4788684969</v>
      </c>
      <c r="O82" s="101">
        <v>4791976922</v>
      </c>
      <c r="P82" s="97">
        <v>37155</v>
      </c>
      <c r="Q82" s="101">
        <v>6325234</v>
      </c>
      <c r="R82" s="101">
        <v>4796818676</v>
      </c>
      <c r="S82" s="101">
        <v>4803143910</v>
      </c>
      <c r="T82" s="97">
        <v>37158</v>
      </c>
    </row>
    <row r="83" spans="1:20">
      <c r="A83" s="85" t="s">
        <v>56</v>
      </c>
      <c r="B83" s="89"/>
      <c r="C83" s="76">
        <v>3</v>
      </c>
      <c r="D83" s="76">
        <v>5</v>
      </c>
      <c r="E83" s="100">
        <v>1374337243</v>
      </c>
      <c r="F83" s="100">
        <v>2505616441</v>
      </c>
      <c r="G83" s="100">
        <v>3879953684</v>
      </c>
      <c r="H83" s="96">
        <v>2085</v>
      </c>
      <c r="I83" s="100">
        <v>40607470</v>
      </c>
      <c r="J83" s="100">
        <v>3894514218</v>
      </c>
      <c r="K83" s="100">
        <v>3935121688</v>
      </c>
      <c r="L83" s="96">
        <v>2306</v>
      </c>
      <c r="M83" s="100">
        <v>29381281</v>
      </c>
      <c r="N83" s="100">
        <v>3943483754</v>
      </c>
      <c r="O83" s="100">
        <v>3972865035</v>
      </c>
      <c r="P83" s="96">
        <v>2345</v>
      </c>
      <c r="Q83" s="100">
        <v>27605090</v>
      </c>
      <c r="R83" s="100">
        <v>4011388315</v>
      </c>
      <c r="S83" s="100">
        <v>4038993405</v>
      </c>
      <c r="T83" s="96">
        <v>2365</v>
      </c>
    </row>
    <row r="84" spans="1:20">
      <c r="A84" s="86" t="s">
        <v>56</v>
      </c>
      <c r="B84" s="90"/>
      <c r="C84" s="77">
        <v>3</v>
      </c>
      <c r="D84" s="77">
        <v>6</v>
      </c>
      <c r="E84" s="101">
        <v>22086607</v>
      </c>
      <c r="F84" s="101">
        <v>77938138</v>
      </c>
      <c r="G84" s="101">
        <v>100024745</v>
      </c>
      <c r="H84" s="97">
        <v>381</v>
      </c>
      <c r="I84" s="101">
        <v>2207559</v>
      </c>
      <c r="J84" s="101">
        <v>123263010</v>
      </c>
      <c r="K84" s="101">
        <v>125470569</v>
      </c>
      <c r="L84" s="97">
        <v>410</v>
      </c>
      <c r="M84" s="101">
        <v>0</v>
      </c>
      <c r="N84" s="101">
        <v>126646689</v>
      </c>
      <c r="O84" s="101">
        <v>126646689</v>
      </c>
      <c r="P84" s="97">
        <v>410</v>
      </c>
      <c r="Q84" s="101">
        <v>0</v>
      </c>
      <c r="R84" s="101">
        <v>127108837</v>
      </c>
      <c r="S84" s="101">
        <v>127108837</v>
      </c>
      <c r="T84" s="97">
        <v>410</v>
      </c>
    </row>
    <row r="85" spans="1:20">
      <c r="A85" s="85" t="s">
        <v>56</v>
      </c>
      <c r="B85" s="89"/>
      <c r="C85" s="76">
        <v>3</v>
      </c>
      <c r="D85" s="76">
        <v>7</v>
      </c>
      <c r="E85" s="100">
        <v>208228938</v>
      </c>
      <c r="F85" s="100">
        <v>380434646</v>
      </c>
      <c r="G85" s="100">
        <v>588663584</v>
      </c>
      <c r="H85" s="96">
        <v>273</v>
      </c>
      <c r="I85" s="100">
        <v>4341476</v>
      </c>
      <c r="J85" s="100">
        <v>572258423</v>
      </c>
      <c r="K85" s="100">
        <v>576599899</v>
      </c>
      <c r="L85" s="96">
        <v>311</v>
      </c>
      <c r="M85" s="100">
        <v>15110324</v>
      </c>
      <c r="N85" s="100">
        <v>576526627</v>
      </c>
      <c r="O85" s="100">
        <v>591636951</v>
      </c>
      <c r="P85" s="96">
        <v>311</v>
      </c>
      <c r="Q85" s="100">
        <v>15533713</v>
      </c>
      <c r="R85" s="100">
        <v>576526627</v>
      </c>
      <c r="S85" s="100">
        <v>592060340</v>
      </c>
      <c r="T85" s="96">
        <v>311</v>
      </c>
    </row>
    <row r="86" spans="1:20">
      <c r="A86" s="86" t="s">
        <v>56</v>
      </c>
      <c r="B86" s="90"/>
      <c r="C86" s="77">
        <v>3</v>
      </c>
      <c r="D86" s="77">
        <v>8</v>
      </c>
      <c r="E86" s="101">
        <v>2728768926</v>
      </c>
      <c r="F86" s="101">
        <v>6764111971</v>
      </c>
      <c r="G86" s="101">
        <v>9492880897</v>
      </c>
      <c r="H86" s="97">
        <v>109369</v>
      </c>
      <c r="I86" s="101">
        <v>141688557</v>
      </c>
      <c r="J86" s="101">
        <v>10072454870</v>
      </c>
      <c r="K86" s="101">
        <v>10214143427</v>
      </c>
      <c r="L86" s="97">
        <v>119237</v>
      </c>
      <c r="M86" s="101">
        <v>49878350</v>
      </c>
      <c r="N86" s="101">
        <v>10414781366</v>
      </c>
      <c r="O86" s="101">
        <v>10464659716</v>
      </c>
      <c r="P86" s="97">
        <v>119395</v>
      </c>
      <c r="Q86" s="101">
        <v>88868799</v>
      </c>
      <c r="R86" s="101">
        <v>10550995876</v>
      </c>
      <c r="S86" s="101">
        <v>10639864675</v>
      </c>
      <c r="T86" s="97">
        <v>119410</v>
      </c>
    </row>
    <row r="87" spans="1:20">
      <c r="A87" s="85" t="s">
        <v>56</v>
      </c>
      <c r="B87" s="89"/>
      <c r="C87" s="76">
        <v>3</v>
      </c>
      <c r="D87" s="76">
        <v>9</v>
      </c>
      <c r="E87" s="100">
        <v>1641606630</v>
      </c>
      <c r="F87" s="100">
        <v>1431805935</v>
      </c>
      <c r="G87" s="100">
        <v>3073412565</v>
      </c>
      <c r="H87" s="96">
        <v>1259</v>
      </c>
      <c r="I87" s="100">
        <v>141128350</v>
      </c>
      <c r="J87" s="100">
        <v>2787956838</v>
      </c>
      <c r="K87" s="100">
        <v>2929085188</v>
      </c>
      <c r="L87" s="96">
        <v>1484</v>
      </c>
      <c r="M87" s="100">
        <v>111616476</v>
      </c>
      <c r="N87" s="100">
        <v>3055975466</v>
      </c>
      <c r="O87" s="100">
        <v>3167591942</v>
      </c>
      <c r="P87" s="96">
        <v>1496</v>
      </c>
      <c r="Q87" s="100">
        <v>155442343</v>
      </c>
      <c r="R87" s="100">
        <v>3199233070</v>
      </c>
      <c r="S87" s="100">
        <v>3354675413</v>
      </c>
      <c r="T87" s="96">
        <v>1497</v>
      </c>
    </row>
    <row r="88" spans="1:20">
      <c r="A88" s="86" t="s">
        <v>56</v>
      </c>
      <c r="B88" s="90"/>
      <c r="C88" s="77">
        <v>6</v>
      </c>
      <c r="D88" s="77">
        <v>1</v>
      </c>
      <c r="E88" s="101">
        <v>51083122</v>
      </c>
      <c r="F88" s="101">
        <v>12285903</v>
      </c>
      <c r="G88" s="101">
        <v>63369025</v>
      </c>
      <c r="H88" s="97">
        <v>555</v>
      </c>
      <c r="I88" s="101">
        <v>67943994</v>
      </c>
      <c r="J88" s="101">
        <v>44071363</v>
      </c>
      <c r="K88" s="101">
        <v>112015357</v>
      </c>
      <c r="L88" s="97">
        <v>669</v>
      </c>
      <c r="M88" s="101">
        <v>239951180</v>
      </c>
      <c r="N88" s="101">
        <v>62806528</v>
      </c>
      <c r="O88" s="101">
        <v>302757708</v>
      </c>
      <c r="P88" s="97">
        <v>740</v>
      </c>
      <c r="Q88" s="101">
        <v>240527720</v>
      </c>
      <c r="R88" s="101">
        <v>143409846</v>
      </c>
      <c r="S88" s="101">
        <v>383937566</v>
      </c>
      <c r="T88" s="97">
        <v>749</v>
      </c>
    </row>
    <row r="89" spans="1:20">
      <c r="A89" s="85" t="s">
        <v>56</v>
      </c>
      <c r="B89" s="89"/>
      <c r="C89" s="76">
        <v>6</v>
      </c>
      <c r="D89" s="76">
        <v>2</v>
      </c>
      <c r="E89" s="100">
        <v>896807867</v>
      </c>
      <c r="F89" s="100">
        <v>550982781</v>
      </c>
      <c r="G89" s="100">
        <v>1447790648</v>
      </c>
      <c r="H89" s="96">
        <v>5256</v>
      </c>
      <c r="I89" s="100">
        <v>1907032298</v>
      </c>
      <c r="J89" s="100">
        <v>1676537401</v>
      </c>
      <c r="K89" s="100">
        <v>3583569699</v>
      </c>
      <c r="L89" s="96">
        <v>6647</v>
      </c>
      <c r="M89" s="100">
        <v>4835891945</v>
      </c>
      <c r="N89" s="100">
        <v>3957048740</v>
      </c>
      <c r="O89" s="100">
        <v>8792940685</v>
      </c>
      <c r="P89" s="96">
        <v>7002</v>
      </c>
      <c r="Q89" s="100">
        <v>6809002727</v>
      </c>
      <c r="R89" s="100">
        <v>8628127221</v>
      </c>
      <c r="S89" s="100">
        <v>15437129948</v>
      </c>
      <c r="T89" s="96">
        <v>7093</v>
      </c>
    </row>
    <row r="90" spans="1:20">
      <c r="A90" s="86" t="s">
        <v>56</v>
      </c>
      <c r="B90" s="90"/>
      <c r="C90" s="77">
        <v>6</v>
      </c>
      <c r="D90" s="77">
        <v>3</v>
      </c>
      <c r="E90" s="101">
        <v>2068311211</v>
      </c>
      <c r="F90" s="101">
        <v>4010157252</v>
      </c>
      <c r="G90" s="101">
        <v>6078468463</v>
      </c>
      <c r="H90" s="97">
        <v>82221</v>
      </c>
      <c r="I90" s="101">
        <v>1461029224</v>
      </c>
      <c r="J90" s="101">
        <v>6738932528</v>
      </c>
      <c r="K90" s="101">
        <v>8199961752</v>
      </c>
      <c r="L90" s="97">
        <v>89826</v>
      </c>
      <c r="M90" s="101">
        <v>2076868417</v>
      </c>
      <c r="N90" s="101">
        <v>7710496529</v>
      </c>
      <c r="O90" s="101">
        <v>9787364946</v>
      </c>
      <c r="P90" s="97">
        <v>95910</v>
      </c>
      <c r="Q90" s="101">
        <v>2613651561</v>
      </c>
      <c r="R90" s="101">
        <v>8936283026</v>
      </c>
      <c r="S90" s="101">
        <v>11549934587</v>
      </c>
      <c r="T90" s="97">
        <v>96016</v>
      </c>
    </row>
    <row r="91" spans="1:20">
      <c r="A91" s="85" t="s">
        <v>56</v>
      </c>
      <c r="B91" s="89"/>
      <c r="C91" s="76">
        <v>6</v>
      </c>
      <c r="D91" s="76">
        <v>4</v>
      </c>
      <c r="E91" s="100">
        <v>33800896</v>
      </c>
      <c r="F91" s="100">
        <v>282214034</v>
      </c>
      <c r="G91" s="100">
        <v>316014930</v>
      </c>
      <c r="H91" s="96">
        <v>1992</v>
      </c>
      <c r="I91" s="100">
        <v>2272678</v>
      </c>
      <c r="J91" s="100">
        <v>348981604</v>
      </c>
      <c r="K91" s="100">
        <v>351254282</v>
      </c>
      <c r="L91" s="96">
        <v>2144</v>
      </c>
      <c r="M91" s="100">
        <v>8000</v>
      </c>
      <c r="N91" s="100">
        <v>349768614</v>
      </c>
      <c r="O91" s="100">
        <v>349776614</v>
      </c>
      <c r="P91" s="96">
        <v>2145</v>
      </c>
      <c r="Q91" s="100">
        <v>0</v>
      </c>
      <c r="R91" s="100">
        <v>349968083</v>
      </c>
      <c r="S91" s="100">
        <v>349968083</v>
      </c>
      <c r="T91" s="96">
        <v>2146</v>
      </c>
    </row>
    <row r="92" spans="1:20">
      <c r="A92" s="86" t="s">
        <v>56</v>
      </c>
      <c r="B92" s="90"/>
      <c r="C92" s="77">
        <v>6</v>
      </c>
      <c r="D92" s="77">
        <v>5</v>
      </c>
      <c r="E92" s="101">
        <v>727114036</v>
      </c>
      <c r="F92" s="101">
        <v>1182895463</v>
      </c>
      <c r="G92" s="101">
        <v>1910009499</v>
      </c>
      <c r="H92" s="97">
        <v>460</v>
      </c>
      <c r="I92" s="101">
        <v>43407924</v>
      </c>
      <c r="J92" s="101">
        <v>1833396103</v>
      </c>
      <c r="K92" s="101">
        <v>1876804027</v>
      </c>
      <c r="L92" s="97">
        <v>510</v>
      </c>
      <c r="M92" s="101">
        <v>55935726</v>
      </c>
      <c r="N92" s="101">
        <v>1867348941</v>
      </c>
      <c r="O92" s="101">
        <v>1923284667</v>
      </c>
      <c r="P92" s="97">
        <v>518</v>
      </c>
      <c r="Q92" s="101">
        <v>1401074</v>
      </c>
      <c r="R92" s="101">
        <v>1983269171</v>
      </c>
      <c r="S92" s="101">
        <v>1984670245</v>
      </c>
      <c r="T92" s="97">
        <v>526</v>
      </c>
    </row>
    <row r="93" spans="1:20">
      <c r="A93" s="85" t="s">
        <v>56</v>
      </c>
      <c r="B93" s="89"/>
      <c r="C93" s="76">
        <v>6</v>
      </c>
      <c r="D93" s="76">
        <v>6</v>
      </c>
      <c r="E93" s="100">
        <v>30942481</v>
      </c>
      <c r="F93" s="100">
        <v>64376554</v>
      </c>
      <c r="G93" s="100">
        <v>95319035</v>
      </c>
      <c r="H93" s="96">
        <v>237</v>
      </c>
      <c r="I93" s="100">
        <v>482582</v>
      </c>
      <c r="J93" s="100">
        <v>151232910</v>
      </c>
      <c r="K93" s="100">
        <v>151715492</v>
      </c>
      <c r="L93" s="96">
        <v>252</v>
      </c>
      <c r="M93" s="100">
        <v>1903041</v>
      </c>
      <c r="N93" s="100">
        <v>156167181</v>
      </c>
      <c r="O93" s="100">
        <v>158070222</v>
      </c>
      <c r="P93" s="96">
        <v>254</v>
      </c>
      <c r="Q93" s="100">
        <v>12925000</v>
      </c>
      <c r="R93" s="100">
        <v>156255101</v>
      </c>
      <c r="S93" s="100">
        <v>169180101</v>
      </c>
      <c r="T93" s="96">
        <v>254</v>
      </c>
    </row>
    <row r="94" spans="1:20">
      <c r="A94" s="86" t="s">
        <v>56</v>
      </c>
      <c r="B94" s="90"/>
      <c r="C94" s="77">
        <v>6</v>
      </c>
      <c r="D94" s="77">
        <v>7</v>
      </c>
      <c r="E94" s="101">
        <v>218687040</v>
      </c>
      <c r="F94" s="101">
        <v>439756625</v>
      </c>
      <c r="G94" s="101">
        <v>658443665</v>
      </c>
      <c r="H94" s="97">
        <v>146</v>
      </c>
      <c r="I94" s="101">
        <v>33938673</v>
      </c>
      <c r="J94" s="101">
        <v>693923062</v>
      </c>
      <c r="K94" s="101">
        <v>727861735</v>
      </c>
      <c r="L94" s="97">
        <v>161</v>
      </c>
      <c r="M94" s="101">
        <v>4252408</v>
      </c>
      <c r="N94" s="101">
        <v>694009691</v>
      </c>
      <c r="O94" s="101">
        <v>698262099</v>
      </c>
      <c r="P94" s="97">
        <v>161</v>
      </c>
      <c r="Q94" s="101">
        <v>1298209</v>
      </c>
      <c r="R94" s="101">
        <v>734894191</v>
      </c>
      <c r="S94" s="101">
        <v>736192400</v>
      </c>
      <c r="T94" s="97">
        <v>161</v>
      </c>
    </row>
    <row r="95" spans="1:20">
      <c r="A95" s="85" t="s">
        <v>56</v>
      </c>
      <c r="B95" s="89"/>
      <c r="C95" s="76">
        <v>6</v>
      </c>
      <c r="D95" s="76">
        <v>8</v>
      </c>
      <c r="E95" s="100">
        <v>231759435</v>
      </c>
      <c r="F95" s="100">
        <v>697854092</v>
      </c>
      <c r="G95" s="100">
        <v>929613527</v>
      </c>
      <c r="H95" s="96">
        <v>11671</v>
      </c>
      <c r="I95" s="100">
        <v>19538184</v>
      </c>
      <c r="J95" s="100">
        <v>1164552619</v>
      </c>
      <c r="K95" s="100">
        <v>1184090803</v>
      </c>
      <c r="L95" s="96">
        <v>12289</v>
      </c>
      <c r="M95" s="100">
        <v>39170518</v>
      </c>
      <c r="N95" s="100">
        <v>1184604375</v>
      </c>
      <c r="O95" s="100">
        <v>1223774893</v>
      </c>
      <c r="P95" s="96">
        <v>12326</v>
      </c>
      <c r="Q95" s="100">
        <v>37682307</v>
      </c>
      <c r="R95" s="100">
        <v>1273335331</v>
      </c>
      <c r="S95" s="100">
        <v>1311017638</v>
      </c>
      <c r="T95" s="96">
        <v>12340</v>
      </c>
    </row>
    <row r="96" spans="1:20">
      <c r="A96" s="86" t="s">
        <v>56</v>
      </c>
      <c r="B96" s="90"/>
      <c r="C96" s="77">
        <v>6</v>
      </c>
      <c r="D96" s="77">
        <v>9</v>
      </c>
      <c r="E96" s="101">
        <v>1490059696</v>
      </c>
      <c r="F96" s="101">
        <v>1397307143</v>
      </c>
      <c r="G96" s="101">
        <v>2887366839</v>
      </c>
      <c r="H96" s="97">
        <v>582</v>
      </c>
      <c r="I96" s="101">
        <v>56667143</v>
      </c>
      <c r="J96" s="101">
        <v>2594685856</v>
      </c>
      <c r="K96" s="101">
        <v>2651352999</v>
      </c>
      <c r="L96" s="97">
        <v>643</v>
      </c>
      <c r="M96" s="101">
        <v>116019247</v>
      </c>
      <c r="N96" s="101">
        <v>2622464953</v>
      </c>
      <c r="O96" s="101">
        <v>2738484200</v>
      </c>
      <c r="P96" s="97">
        <v>648</v>
      </c>
      <c r="Q96" s="101">
        <v>181913199</v>
      </c>
      <c r="R96" s="101">
        <v>2716183715</v>
      </c>
      <c r="S96" s="101">
        <v>2898096914</v>
      </c>
      <c r="T96" s="97">
        <v>648</v>
      </c>
    </row>
    <row r="97" spans="1:20">
      <c r="A97" s="85" t="s">
        <v>56</v>
      </c>
      <c r="B97" s="89"/>
      <c r="C97" s="76">
        <v>7</v>
      </c>
      <c r="D97" s="76">
        <v>1</v>
      </c>
      <c r="E97" s="100">
        <v>49680076</v>
      </c>
      <c r="F97" s="100">
        <v>7299262</v>
      </c>
      <c r="G97" s="100">
        <v>56979338</v>
      </c>
      <c r="H97" s="96">
        <v>3029</v>
      </c>
      <c r="I97" s="100">
        <v>58589900</v>
      </c>
      <c r="J97" s="100">
        <v>24140857</v>
      </c>
      <c r="K97" s="100">
        <v>82730757</v>
      </c>
      <c r="L97" s="96">
        <v>3084</v>
      </c>
      <c r="M97" s="100">
        <v>36158643</v>
      </c>
      <c r="N97" s="100">
        <v>99115251</v>
      </c>
      <c r="O97" s="100">
        <v>135273894</v>
      </c>
      <c r="P97" s="96">
        <v>4261</v>
      </c>
      <c r="Q97" s="100">
        <v>33982171</v>
      </c>
      <c r="R97" s="100">
        <v>101399064</v>
      </c>
      <c r="S97" s="100">
        <v>135381235</v>
      </c>
      <c r="T97" s="96">
        <v>4263</v>
      </c>
    </row>
    <row r="98" spans="1:20">
      <c r="A98" s="86" t="s">
        <v>56</v>
      </c>
      <c r="B98" s="90"/>
      <c r="C98" s="77">
        <v>7</v>
      </c>
      <c r="D98" s="77">
        <v>2</v>
      </c>
      <c r="E98" s="101">
        <v>267481257</v>
      </c>
      <c r="F98" s="101">
        <v>120351539</v>
      </c>
      <c r="G98" s="101">
        <v>387832796</v>
      </c>
      <c r="H98" s="97">
        <v>3233</v>
      </c>
      <c r="I98" s="101">
        <v>355031860</v>
      </c>
      <c r="J98" s="101">
        <v>269585263</v>
      </c>
      <c r="K98" s="101">
        <v>624617123</v>
      </c>
      <c r="L98" s="97">
        <v>3507</v>
      </c>
      <c r="M98" s="101">
        <v>1101243074</v>
      </c>
      <c r="N98" s="101">
        <v>488300867</v>
      </c>
      <c r="O98" s="101">
        <v>1589543941</v>
      </c>
      <c r="P98" s="97">
        <v>3802</v>
      </c>
      <c r="Q98" s="101">
        <v>1312100103</v>
      </c>
      <c r="R98" s="101">
        <v>774285233</v>
      </c>
      <c r="S98" s="101">
        <v>2086385336</v>
      </c>
      <c r="T98" s="97">
        <v>3826</v>
      </c>
    </row>
    <row r="99" spans="1:20">
      <c r="A99" s="85" t="s">
        <v>56</v>
      </c>
      <c r="B99" s="89"/>
      <c r="C99" s="76">
        <v>7</v>
      </c>
      <c r="D99" s="76">
        <v>3</v>
      </c>
      <c r="E99" s="100">
        <v>335006369</v>
      </c>
      <c r="F99" s="100">
        <v>357200570</v>
      </c>
      <c r="G99" s="100">
        <v>692206939</v>
      </c>
      <c r="H99" s="96">
        <v>28012</v>
      </c>
      <c r="I99" s="100">
        <v>161852831</v>
      </c>
      <c r="J99" s="100">
        <v>479282082</v>
      </c>
      <c r="K99" s="100">
        <v>641134913</v>
      </c>
      <c r="L99" s="96">
        <v>28748</v>
      </c>
      <c r="M99" s="100">
        <v>240537437</v>
      </c>
      <c r="N99" s="100">
        <v>547513803</v>
      </c>
      <c r="O99" s="100">
        <v>788051240</v>
      </c>
      <c r="P99" s="96">
        <v>33485</v>
      </c>
      <c r="Q99" s="100">
        <v>232236052</v>
      </c>
      <c r="R99" s="100">
        <v>574922825</v>
      </c>
      <c r="S99" s="100">
        <v>807158877</v>
      </c>
      <c r="T99" s="96">
        <v>33501</v>
      </c>
    </row>
    <row r="100" spans="1:20">
      <c r="A100" s="86" t="s">
        <v>56</v>
      </c>
      <c r="B100" s="90"/>
      <c r="C100" s="77">
        <v>7</v>
      </c>
      <c r="D100" s="77">
        <v>4</v>
      </c>
      <c r="E100" s="101">
        <v>5865920</v>
      </c>
      <c r="F100" s="101">
        <v>2497667</v>
      </c>
      <c r="G100" s="101">
        <v>8363587</v>
      </c>
      <c r="H100" s="97">
        <v>128</v>
      </c>
      <c r="I100" s="101">
        <v>862245</v>
      </c>
      <c r="J100" s="101">
        <v>4055182</v>
      </c>
      <c r="K100" s="101">
        <v>4917427</v>
      </c>
      <c r="L100" s="97">
        <v>141</v>
      </c>
      <c r="M100" s="101">
        <v>3647847</v>
      </c>
      <c r="N100" s="101">
        <v>4055182</v>
      </c>
      <c r="O100" s="101">
        <v>7703029</v>
      </c>
      <c r="P100" s="97">
        <v>142</v>
      </c>
      <c r="Q100" s="101">
        <v>0</v>
      </c>
      <c r="R100" s="101">
        <v>4055182</v>
      </c>
      <c r="S100" s="101">
        <v>4055182</v>
      </c>
      <c r="T100" s="97">
        <v>142</v>
      </c>
    </row>
    <row r="101" spans="1:20">
      <c r="A101" s="85" t="s">
        <v>56</v>
      </c>
      <c r="B101" s="89"/>
      <c r="C101" s="76">
        <v>7</v>
      </c>
      <c r="D101" s="76">
        <v>5</v>
      </c>
      <c r="E101" s="100">
        <v>655600526</v>
      </c>
      <c r="F101" s="100">
        <v>2136100189</v>
      </c>
      <c r="G101" s="100">
        <v>2791700715</v>
      </c>
      <c r="H101" s="96">
        <v>6898</v>
      </c>
      <c r="I101" s="100">
        <v>38770116</v>
      </c>
      <c r="J101" s="100">
        <v>2677728871</v>
      </c>
      <c r="K101" s="100">
        <v>2716498987</v>
      </c>
      <c r="L101" s="96">
        <v>7105</v>
      </c>
      <c r="M101" s="100">
        <v>12624636</v>
      </c>
      <c r="N101" s="100">
        <v>2684867062</v>
      </c>
      <c r="O101" s="100">
        <v>2697491698</v>
      </c>
      <c r="P101" s="96">
        <v>7122</v>
      </c>
      <c r="Q101" s="100">
        <v>3582084</v>
      </c>
      <c r="R101" s="100">
        <v>2731525717</v>
      </c>
      <c r="S101" s="100">
        <v>2735107801</v>
      </c>
      <c r="T101" s="96">
        <v>7122</v>
      </c>
    </row>
    <row r="102" spans="1:20">
      <c r="A102" s="86" t="s">
        <v>56</v>
      </c>
      <c r="B102" s="90"/>
      <c r="C102" s="77">
        <v>7</v>
      </c>
      <c r="D102" s="77">
        <v>6</v>
      </c>
      <c r="E102" s="101">
        <v>3071315</v>
      </c>
      <c r="F102" s="101">
        <v>481721</v>
      </c>
      <c r="G102" s="101">
        <v>3553036</v>
      </c>
      <c r="H102" s="97">
        <v>70</v>
      </c>
      <c r="I102" s="101">
        <v>0</v>
      </c>
      <c r="J102" s="101">
        <v>606816</v>
      </c>
      <c r="K102" s="101">
        <v>606816</v>
      </c>
      <c r="L102" s="97">
        <v>76</v>
      </c>
      <c r="M102" s="101">
        <v>0</v>
      </c>
      <c r="N102" s="101">
        <v>606816</v>
      </c>
      <c r="O102" s="101">
        <v>606816</v>
      </c>
      <c r="P102" s="97">
        <v>76</v>
      </c>
      <c r="Q102" s="101">
        <v>0</v>
      </c>
      <c r="R102" s="101">
        <v>606816</v>
      </c>
      <c r="S102" s="101">
        <v>606816</v>
      </c>
      <c r="T102" s="97">
        <v>76</v>
      </c>
    </row>
    <row r="103" spans="1:20">
      <c r="A103" s="85" t="s">
        <v>56</v>
      </c>
      <c r="B103" s="89"/>
      <c r="C103" s="76">
        <v>7</v>
      </c>
      <c r="D103" s="76">
        <v>7</v>
      </c>
      <c r="E103" s="100">
        <v>8659676</v>
      </c>
      <c r="F103" s="100">
        <v>20873189</v>
      </c>
      <c r="G103" s="100">
        <v>29532865</v>
      </c>
      <c r="H103" s="96">
        <v>65</v>
      </c>
      <c r="I103" s="100">
        <v>1189353</v>
      </c>
      <c r="J103" s="100">
        <v>28968972</v>
      </c>
      <c r="K103" s="100">
        <v>30158325</v>
      </c>
      <c r="L103" s="96">
        <v>65</v>
      </c>
      <c r="M103" s="100">
        <v>0</v>
      </c>
      <c r="N103" s="100">
        <v>29644147</v>
      </c>
      <c r="O103" s="100">
        <v>29644147</v>
      </c>
      <c r="P103" s="96">
        <v>65</v>
      </c>
      <c r="Q103" s="100">
        <v>0</v>
      </c>
      <c r="R103" s="100">
        <v>29644147</v>
      </c>
      <c r="S103" s="100">
        <v>29644147</v>
      </c>
      <c r="T103" s="96">
        <v>65</v>
      </c>
    </row>
    <row r="104" spans="1:20">
      <c r="A104" s="86" t="s">
        <v>56</v>
      </c>
      <c r="B104" s="90"/>
      <c r="C104" s="77">
        <v>7</v>
      </c>
      <c r="D104" s="77">
        <v>8</v>
      </c>
      <c r="E104" s="101">
        <v>22432076</v>
      </c>
      <c r="F104" s="101">
        <v>115521154</v>
      </c>
      <c r="G104" s="101">
        <v>137953230</v>
      </c>
      <c r="H104" s="97">
        <v>1107</v>
      </c>
      <c r="I104" s="101">
        <v>1452910</v>
      </c>
      <c r="J104" s="101">
        <v>155999220</v>
      </c>
      <c r="K104" s="101">
        <v>157452130</v>
      </c>
      <c r="L104" s="97">
        <v>1176</v>
      </c>
      <c r="M104" s="101">
        <v>1467709</v>
      </c>
      <c r="N104" s="101">
        <v>156301138</v>
      </c>
      <c r="O104" s="101">
        <v>157768847</v>
      </c>
      <c r="P104" s="97">
        <v>1176</v>
      </c>
      <c r="Q104" s="101">
        <v>1469575</v>
      </c>
      <c r="R104" s="101">
        <v>156367603</v>
      </c>
      <c r="S104" s="101">
        <v>157837178</v>
      </c>
      <c r="T104" s="97">
        <v>1176</v>
      </c>
    </row>
    <row r="105" spans="1:20">
      <c r="A105" s="85" t="s">
        <v>56</v>
      </c>
      <c r="B105" s="89"/>
      <c r="C105" s="76">
        <v>7</v>
      </c>
      <c r="D105" s="76">
        <v>9</v>
      </c>
      <c r="E105" s="100">
        <v>128411988</v>
      </c>
      <c r="F105" s="100">
        <v>143916208</v>
      </c>
      <c r="G105" s="100">
        <v>272328196</v>
      </c>
      <c r="H105" s="96">
        <v>938</v>
      </c>
      <c r="I105" s="100">
        <v>43841180</v>
      </c>
      <c r="J105" s="100">
        <v>253149097</v>
      </c>
      <c r="K105" s="100">
        <v>296990277</v>
      </c>
      <c r="L105" s="96">
        <v>1103</v>
      </c>
      <c r="M105" s="100">
        <v>38093177</v>
      </c>
      <c r="N105" s="100">
        <v>254577983</v>
      </c>
      <c r="O105" s="100">
        <v>292671160</v>
      </c>
      <c r="P105" s="96">
        <v>1104</v>
      </c>
      <c r="Q105" s="100">
        <v>48619093</v>
      </c>
      <c r="R105" s="100">
        <v>254743683</v>
      </c>
      <c r="S105" s="100">
        <v>303362776</v>
      </c>
      <c r="T105" s="96">
        <v>1105</v>
      </c>
    </row>
    <row r="106" spans="1:20">
      <c r="A106" s="86" t="s">
        <v>56</v>
      </c>
      <c r="B106" s="90"/>
      <c r="C106" s="77">
        <v>8</v>
      </c>
      <c r="D106" s="77">
        <v>1</v>
      </c>
      <c r="E106" s="101">
        <v>250254</v>
      </c>
      <c r="F106" s="101">
        <v>73250</v>
      </c>
      <c r="G106" s="101">
        <v>323504</v>
      </c>
      <c r="H106" s="97">
        <v>7</v>
      </c>
      <c r="I106" s="101">
        <v>173181</v>
      </c>
      <c r="J106" s="101">
        <v>99733</v>
      </c>
      <c r="K106" s="101">
        <v>272914</v>
      </c>
      <c r="L106" s="97">
        <v>9</v>
      </c>
      <c r="M106" s="101">
        <v>150809</v>
      </c>
      <c r="N106" s="101">
        <v>99733</v>
      </c>
      <c r="O106" s="101">
        <v>250542</v>
      </c>
      <c r="P106" s="97">
        <v>10</v>
      </c>
      <c r="Q106" s="101">
        <v>0</v>
      </c>
      <c r="R106" s="101">
        <v>99733</v>
      </c>
      <c r="S106" s="101">
        <v>99733</v>
      </c>
      <c r="T106" s="97">
        <v>10</v>
      </c>
    </row>
    <row r="107" spans="1:20">
      <c r="A107" s="85" t="s">
        <v>56</v>
      </c>
      <c r="B107" s="89"/>
      <c r="C107" s="76">
        <v>8</v>
      </c>
      <c r="D107" s="76">
        <v>2</v>
      </c>
      <c r="E107" s="100">
        <v>5092653</v>
      </c>
      <c r="F107" s="100">
        <v>2195249</v>
      </c>
      <c r="G107" s="100">
        <v>7287902</v>
      </c>
      <c r="H107" s="96">
        <v>70</v>
      </c>
      <c r="I107" s="100">
        <v>12200154</v>
      </c>
      <c r="J107" s="100">
        <v>3534004</v>
      </c>
      <c r="K107" s="100">
        <v>15734158</v>
      </c>
      <c r="L107" s="96">
        <v>82</v>
      </c>
      <c r="M107" s="100">
        <v>19536818</v>
      </c>
      <c r="N107" s="100">
        <v>12132209</v>
      </c>
      <c r="O107" s="100">
        <v>31669027</v>
      </c>
      <c r="P107" s="96">
        <v>92</v>
      </c>
      <c r="Q107" s="100">
        <v>55323773</v>
      </c>
      <c r="R107" s="100">
        <v>25223748</v>
      </c>
      <c r="S107" s="100">
        <v>80547521</v>
      </c>
      <c r="T107" s="96">
        <v>92</v>
      </c>
    </row>
    <row r="108" spans="1:20">
      <c r="A108" s="86" t="s">
        <v>56</v>
      </c>
      <c r="B108" s="90"/>
      <c r="C108" s="77">
        <v>8</v>
      </c>
      <c r="D108" s="77">
        <v>3</v>
      </c>
      <c r="E108" s="101">
        <v>27465583</v>
      </c>
      <c r="F108" s="101">
        <v>26695815</v>
      </c>
      <c r="G108" s="101">
        <v>54161398</v>
      </c>
      <c r="H108" s="97">
        <v>1492</v>
      </c>
      <c r="I108" s="101">
        <v>15654222</v>
      </c>
      <c r="J108" s="101">
        <v>40203111</v>
      </c>
      <c r="K108" s="101">
        <v>55857333</v>
      </c>
      <c r="L108" s="97">
        <v>1580</v>
      </c>
      <c r="M108" s="101">
        <v>24379405</v>
      </c>
      <c r="N108" s="101">
        <v>40575280</v>
      </c>
      <c r="O108" s="101">
        <v>64954685</v>
      </c>
      <c r="P108" s="97">
        <v>1838</v>
      </c>
      <c r="Q108" s="101">
        <v>1859679</v>
      </c>
      <c r="R108" s="101">
        <v>42770937</v>
      </c>
      <c r="S108" s="101">
        <v>44630616</v>
      </c>
      <c r="T108" s="97">
        <v>1840</v>
      </c>
    </row>
    <row r="109" spans="1:20">
      <c r="A109" s="85" t="s">
        <v>56</v>
      </c>
      <c r="B109" s="89"/>
      <c r="C109" s="76">
        <v>8</v>
      </c>
      <c r="D109" s="76">
        <v>4</v>
      </c>
      <c r="E109" s="100">
        <v>67512</v>
      </c>
      <c r="F109" s="100">
        <v>0</v>
      </c>
      <c r="G109" s="100">
        <v>67512</v>
      </c>
      <c r="H109" s="96">
        <v>6</v>
      </c>
      <c r="I109" s="100">
        <v>0</v>
      </c>
      <c r="J109" s="100">
        <v>0</v>
      </c>
      <c r="K109" s="100">
        <v>0</v>
      </c>
      <c r="L109" s="96">
        <v>6</v>
      </c>
      <c r="M109" s="100">
        <v>0</v>
      </c>
      <c r="N109" s="100">
        <v>0</v>
      </c>
      <c r="O109" s="100">
        <v>0</v>
      </c>
      <c r="P109" s="96">
        <v>6</v>
      </c>
      <c r="Q109" s="100">
        <v>0</v>
      </c>
      <c r="R109" s="100">
        <v>0</v>
      </c>
      <c r="S109" s="100">
        <v>0</v>
      </c>
      <c r="T109" s="96">
        <v>6</v>
      </c>
    </row>
    <row r="110" spans="1:20">
      <c r="A110" s="86" t="s">
        <v>56</v>
      </c>
      <c r="B110" s="90"/>
      <c r="C110" s="77">
        <v>8</v>
      </c>
      <c r="D110" s="77">
        <v>5</v>
      </c>
      <c r="E110" s="101">
        <v>15700</v>
      </c>
      <c r="F110" s="101">
        <v>501500</v>
      </c>
      <c r="G110" s="101">
        <v>517200</v>
      </c>
      <c r="H110" s="97">
        <v>5</v>
      </c>
      <c r="I110" s="101">
        <v>0</v>
      </c>
      <c r="J110" s="101">
        <v>501500</v>
      </c>
      <c r="K110" s="101">
        <v>501500</v>
      </c>
      <c r="L110" s="97">
        <v>6</v>
      </c>
      <c r="M110" s="101">
        <v>0</v>
      </c>
      <c r="N110" s="101">
        <v>501500</v>
      </c>
      <c r="O110" s="101">
        <v>501500</v>
      </c>
      <c r="P110" s="97">
        <v>6</v>
      </c>
      <c r="Q110" s="101">
        <v>0</v>
      </c>
      <c r="R110" s="101">
        <v>501500</v>
      </c>
      <c r="S110" s="101">
        <v>501500</v>
      </c>
      <c r="T110" s="97">
        <v>6</v>
      </c>
    </row>
    <row r="111" spans="1:20">
      <c r="A111" s="85" t="s">
        <v>56</v>
      </c>
      <c r="B111" s="89"/>
      <c r="C111" s="76">
        <v>8</v>
      </c>
      <c r="D111" s="76">
        <v>6</v>
      </c>
      <c r="E111" s="100">
        <v>0</v>
      </c>
      <c r="F111" s="100">
        <v>36800</v>
      </c>
      <c r="G111" s="100">
        <v>36800</v>
      </c>
      <c r="H111" s="96">
        <v>1</v>
      </c>
      <c r="I111" s="100">
        <v>0</v>
      </c>
      <c r="J111" s="100">
        <v>36800</v>
      </c>
      <c r="K111" s="100">
        <v>36800</v>
      </c>
      <c r="L111" s="96">
        <v>2</v>
      </c>
      <c r="M111" s="100">
        <v>0</v>
      </c>
      <c r="N111" s="100">
        <v>36800</v>
      </c>
      <c r="O111" s="100">
        <v>36800</v>
      </c>
      <c r="P111" s="96">
        <v>2</v>
      </c>
      <c r="Q111" s="100">
        <v>0</v>
      </c>
      <c r="R111" s="100">
        <v>36800</v>
      </c>
      <c r="S111" s="100">
        <v>36800</v>
      </c>
      <c r="T111" s="96">
        <v>2</v>
      </c>
    </row>
    <row r="112" spans="1:20">
      <c r="A112" s="86" t="s">
        <v>56</v>
      </c>
      <c r="B112" s="90"/>
      <c r="C112" s="77">
        <v>8</v>
      </c>
      <c r="D112" s="77">
        <v>7</v>
      </c>
      <c r="E112" s="101">
        <v>0</v>
      </c>
      <c r="F112" s="101">
        <v>802300</v>
      </c>
      <c r="G112" s="101">
        <v>802300</v>
      </c>
      <c r="H112" s="97">
        <v>1</v>
      </c>
      <c r="I112" s="101">
        <v>0</v>
      </c>
      <c r="J112" s="101">
        <v>802300</v>
      </c>
      <c r="K112" s="101">
        <v>802300</v>
      </c>
      <c r="L112" s="97">
        <v>1</v>
      </c>
      <c r="M112" s="101">
        <v>0</v>
      </c>
      <c r="N112" s="101">
        <v>802300</v>
      </c>
      <c r="O112" s="101">
        <v>802300</v>
      </c>
      <c r="P112" s="97">
        <v>1</v>
      </c>
      <c r="Q112" s="101">
        <v>0</v>
      </c>
      <c r="R112" s="101">
        <v>802300</v>
      </c>
      <c r="S112" s="101">
        <v>802300</v>
      </c>
      <c r="T112" s="97">
        <v>1</v>
      </c>
    </row>
    <row r="113" spans="1:20">
      <c r="A113" s="85" t="s">
        <v>56</v>
      </c>
      <c r="B113" s="89"/>
      <c r="C113" s="76">
        <v>8</v>
      </c>
      <c r="D113" s="76">
        <v>8</v>
      </c>
      <c r="E113" s="100">
        <v>130650</v>
      </c>
      <c r="F113" s="100">
        <v>164628</v>
      </c>
      <c r="G113" s="100">
        <v>295278</v>
      </c>
      <c r="H113" s="96">
        <v>57</v>
      </c>
      <c r="I113" s="100">
        <v>300</v>
      </c>
      <c r="J113" s="100">
        <v>456563</v>
      </c>
      <c r="K113" s="100">
        <v>456863</v>
      </c>
      <c r="L113" s="96">
        <v>58</v>
      </c>
      <c r="M113" s="100">
        <v>300</v>
      </c>
      <c r="N113" s="100">
        <v>456563</v>
      </c>
      <c r="O113" s="100">
        <v>456863</v>
      </c>
      <c r="P113" s="96">
        <v>58</v>
      </c>
      <c r="Q113" s="100">
        <v>0</v>
      </c>
      <c r="R113" s="100">
        <v>456563</v>
      </c>
      <c r="S113" s="100">
        <v>456563</v>
      </c>
      <c r="T113" s="96">
        <v>58</v>
      </c>
    </row>
    <row r="114" spans="1:20">
      <c r="A114" s="86" t="s">
        <v>56</v>
      </c>
      <c r="B114" s="90"/>
      <c r="C114" s="77">
        <v>8</v>
      </c>
      <c r="D114" s="77">
        <v>9</v>
      </c>
      <c r="E114" s="101">
        <v>0</v>
      </c>
      <c r="F114" s="101">
        <v>478400</v>
      </c>
      <c r="G114" s="101">
        <v>478400</v>
      </c>
      <c r="H114" s="97">
        <v>2</v>
      </c>
      <c r="I114" s="101">
        <v>0</v>
      </c>
      <c r="J114" s="101">
        <v>478400</v>
      </c>
      <c r="K114" s="101">
        <v>478400</v>
      </c>
      <c r="L114" s="97">
        <v>2</v>
      </c>
      <c r="M114" s="101">
        <v>0</v>
      </c>
      <c r="N114" s="101">
        <v>478400</v>
      </c>
      <c r="O114" s="101">
        <v>478400</v>
      </c>
      <c r="P114" s="97">
        <v>2</v>
      </c>
      <c r="Q114" s="101">
        <v>0</v>
      </c>
      <c r="R114" s="101">
        <v>478400</v>
      </c>
      <c r="S114" s="101">
        <v>478400</v>
      </c>
      <c r="T114" s="97">
        <v>2</v>
      </c>
    </row>
    <row r="115" spans="1:20">
      <c r="A115" s="85" t="s">
        <v>56</v>
      </c>
      <c r="B115" s="89"/>
      <c r="C115" s="76">
        <v>9</v>
      </c>
      <c r="D115" s="76">
        <v>1</v>
      </c>
      <c r="E115" s="100">
        <v>1135955</v>
      </c>
      <c r="F115" s="100">
        <v>400000</v>
      </c>
      <c r="G115" s="100">
        <v>1535955</v>
      </c>
      <c r="H115" s="96">
        <v>7</v>
      </c>
      <c r="I115" s="100">
        <v>905322</v>
      </c>
      <c r="J115" s="100">
        <v>443925</v>
      </c>
      <c r="K115" s="100">
        <v>1349247</v>
      </c>
      <c r="L115" s="96">
        <v>7</v>
      </c>
      <c r="M115" s="100">
        <v>1000132</v>
      </c>
      <c r="N115" s="100">
        <v>443925</v>
      </c>
      <c r="O115" s="100">
        <v>1444057</v>
      </c>
      <c r="P115" s="96">
        <v>8</v>
      </c>
      <c r="Q115" s="100">
        <v>0</v>
      </c>
      <c r="R115" s="100">
        <v>443925</v>
      </c>
      <c r="S115" s="100">
        <v>443925</v>
      </c>
      <c r="T115" s="96">
        <v>8</v>
      </c>
    </row>
    <row r="116" spans="1:20">
      <c r="A116" s="86" t="s">
        <v>56</v>
      </c>
      <c r="B116" s="90"/>
      <c r="C116" s="77">
        <v>9</v>
      </c>
      <c r="D116" s="77">
        <v>2</v>
      </c>
      <c r="E116" s="101">
        <v>24948193</v>
      </c>
      <c r="F116" s="101">
        <v>12305562</v>
      </c>
      <c r="G116" s="101">
        <v>37253755</v>
      </c>
      <c r="H116" s="97">
        <v>163</v>
      </c>
      <c r="I116" s="101">
        <v>22741747</v>
      </c>
      <c r="J116" s="101">
        <v>24810242</v>
      </c>
      <c r="K116" s="101">
        <v>47551989</v>
      </c>
      <c r="L116" s="97">
        <v>182</v>
      </c>
      <c r="M116" s="101">
        <v>61087326</v>
      </c>
      <c r="N116" s="101">
        <v>38260878</v>
      </c>
      <c r="O116" s="101">
        <v>99348204</v>
      </c>
      <c r="P116" s="97">
        <v>186</v>
      </c>
      <c r="Q116" s="101">
        <v>37361157</v>
      </c>
      <c r="R116" s="101">
        <v>71764280</v>
      </c>
      <c r="S116" s="101">
        <v>109125437</v>
      </c>
      <c r="T116" s="97">
        <v>188</v>
      </c>
    </row>
    <row r="117" spans="1:20">
      <c r="A117" s="85" t="s">
        <v>56</v>
      </c>
      <c r="B117" s="89"/>
      <c r="C117" s="76">
        <v>9</v>
      </c>
      <c r="D117" s="76">
        <v>3</v>
      </c>
      <c r="E117" s="100">
        <v>108448134</v>
      </c>
      <c r="F117" s="100">
        <v>241479534</v>
      </c>
      <c r="G117" s="100">
        <v>349927668</v>
      </c>
      <c r="H117" s="96">
        <v>3087</v>
      </c>
      <c r="I117" s="100">
        <v>46692245</v>
      </c>
      <c r="J117" s="100">
        <v>442758086</v>
      </c>
      <c r="K117" s="100">
        <v>489450331</v>
      </c>
      <c r="L117" s="96">
        <v>3293</v>
      </c>
      <c r="M117" s="100">
        <v>79151377</v>
      </c>
      <c r="N117" s="100">
        <v>506822435</v>
      </c>
      <c r="O117" s="100">
        <v>585973812</v>
      </c>
      <c r="P117" s="96">
        <v>3354</v>
      </c>
      <c r="Q117" s="100">
        <v>117703480</v>
      </c>
      <c r="R117" s="100">
        <v>602615716</v>
      </c>
      <c r="S117" s="100">
        <v>720319196</v>
      </c>
      <c r="T117" s="96">
        <v>3357</v>
      </c>
    </row>
    <row r="118" spans="1:20">
      <c r="A118" s="86" t="s">
        <v>56</v>
      </c>
      <c r="B118" s="90"/>
      <c r="C118" s="77">
        <v>9</v>
      </c>
      <c r="D118" s="77">
        <v>4</v>
      </c>
      <c r="E118" s="101">
        <v>2171293</v>
      </c>
      <c r="F118" s="101">
        <v>3167699</v>
      </c>
      <c r="G118" s="101">
        <v>5338992</v>
      </c>
      <c r="H118" s="97">
        <v>21</v>
      </c>
      <c r="I118" s="101">
        <v>0</v>
      </c>
      <c r="J118" s="101">
        <v>4844311</v>
      </c>
      <c r="K118" s="101">
        <v>4844311</v>
      </c>
      <c r="L118" s="97">
        <v>25</v>
      </c>
      <c r="M118" s="101">
        <v>0</v>
      </c>
      <c r="N118" s="101">
        <v>4844311</v>
      </c>
      <c r="O118" s="101">
        <v>4844311</v>
      </c>
      <c r="P118" s="97">
        <v>25</v>
      </c>
      <c r="Q118" s="101">
        <v>0</v>
      </c>
      <c r="R118" s="101">
        <v>4844311</v>
      </c>
      <c r="S118" s="101">
        <v>4844311</v>
      </c>
      <c r="T118" s="97">
        <v>25</v>
      </c>
    </row>
    <row r="119" spans="1:20">
      <c r="A119" s="85" t="s">
        <v>56</v>
      </c>
      <c r="B119" s="89"/>
      <c r="C119" s="76">
        <v>9</v>
      </c>
      <c r="D119" s="76">
        <v>5</v>
      </c>
      <c r="E119" s="100">
        <v>2310440</v>
      </c>
      <c r="F119" s="100">
        <v>7299915</v>
      </c>
      <c r="G119" s="100">
        <v>9610355</v>
      </c>
      <c r="H119" s="96">
        <v>10</v>
      </c>
      <c r="I119" s="100">
        <v>575420</v>
      </c>
      <c r="J119" s="100">
        <v>7613255</v>
      </c>
      <c r="K119" s="100">
        <v>8188675</v>
      </c>
      <c r="L119" s="96">
        <v>10</v>
      </c>
      <c r="M119" s="100">
        <v>0</v>
      </c>
      <c r="N119" s="100">
        <v>7620255</v>
      </c>
      <c r="O119" s="100">
        <v>7620255</v>
      </c>
      <c r="P119" s="96">
        <v>10</v>
      </c>
      <c r="Q119" s="100">
        <v>0</v>
      </c>
      <c r="R119" s="100">
        <v>7629055</v>
      </c>
      <c r="S119" s="100">
        <v>7629055</v>
      </c>
      <c r="T119" s="96">
        <v>10</v>
      </c>
    </row>
    <row r="120" spans="1:20">
      <c r="A120" s="86" t="s">
        <v>56</v>
      </c>
      <c r="B120" s="90"/>
      <c r="C120" s="77">
        <v>9</v>
      </c>
      <c r="D120" s="77">
        <v>6</v>
      </c>
      <c r="E120" s="101">
        <v>43829205</v>
      </c>
      <c r="F120" s="101">
        <v>31439200</v>
      </c>
      <c r="G120" s="101">
        <v>75268405</v>
      </c>
      <c r="H120" s="97">
        <v>125</v>
      </c>
      <c r="I120" s="101">
        <v>8180</v>
      </c>
      <c r="J120" s="101">
        <v>92345071</v>
      </c>
      <c r="K120" s="101">
        <v>92353251</v>
      </c>
      <c r="L120" s="97">
        <v>138</v>
      </c>
      <c r="M120" s="101">
        <v>4000</v>
      </c>
      <c r="N120" s="101">
        <v>97483987</v>
      </c>
      <c r="O120" s="101">
        <v>97487987</v>
      </c>
      <c r="P120" s="97">
        <v>138</v>
      </c>
      <c r="Q120" s="101">
        <v>0</v>
      </c>
      <c r="R120" s="101">
        <v>97483987</v>
      </c>
      <c r="S120" s="101">
        <v>97483987</v>
      </c>
      <c r="T120" s="97">
        <v>138</v>
      </c>
    </row>
    <row r="121" spans="1:20">
      <c r="A121" s="85" t="s">
        <v>56</v>
      </c>
      <c r="B121" s="89"/>
      <c r="C121" s="76">
        <v>9</v>
      </c>
      <c r="D121" s="76">
        <v>7</v>
      </c>
      <c r="E121" s="100">
        <v>511039871</v>
      </c>
      <c r="F121" s="100">
        <v>408954593</v>
      </c>
      <c r="G121" s="100">
        <v>919994464</v>
      </c>
      <c r="H121" s="96">
        <v>62</v>
      </c>
      <c r="I121" s="100">
        <v>11014614</v>
      </c>
      <c r="J121" s="100">
        <v>791211310</v>
      </c>
      <c r="K121" s="100">
        <v>802225924</v>
      </c>
      <c r="L121" s="96">
        <v>71</v>
      </c>
      <c r="M121" s="100">
        <v>1903041</v>
      </c>
      <c r="N121" s="100">
        <v>791211310</v>
      </c>
      <c r="O121" s="100">
        <v>793114351</v>
      </c>
      <c r="P121" s="96">
        <v>71</v>
      </c>
      <c r="Q121" s="100">
        <v>0</v>
      </c>
      <c r="R121" s="100">
        <v>791211310</v>
      </c>
      <c r="S121" s="100">
        <v>791211310</v>
      </c>
      <c r="T121" s="96">
        <v>71</v>
      </c>
    </row>
    <row r="122" spans="1:20">
      <c r="A122" s="86" t="s">
        <v>56</v>
      </c>
      <c r="B122" s="90"/>
      <c r="C122" s="77">
        <v>9</v>
      </c>
      <c r="D122" s="77">
        <v>8</v>
      </c>
      <c r="E122" s="101">
        <v>155604</v>
      </c>
      <c r="F122" s="101">
        <v>19066</v>
      </c>
      <c r="G122" s="101">
        <v>174670</v>
      </c>
      <c r="H122" s="97">
        <v>32</v>
      </c>
      <c r="I122" s="101">
        <v>530921</v>
      </c>
      <c r="J122" s="101">
        <v>31526</v>
      </c>
      <c r="K122" s="101">
        <v>562447</v>
      </c>
      <c r="L122" s="97">
        <v>40</v>
      </c>
      <c r="M122" s="101">
        <v>1</v>
      </c>
      <c r="N122" s="101">
        <v>31526</v>
      </c>
      <c r="O122" s="101">
        <v>31527</v>
      </c>
      <c r="P122" s="97">
        <v>40</v>
      </c>
      <c r="Q122" s="101">
        <v>0</v>
      </c>
      <c r="R122" s="101">
        <v>31526</v>
      </c>
      <c r="S122" s="101">
        <v>31526</v>
      </c>
      <c r="T122" s="97">
        <v>40</v>
      </c>
    </row>
    <row r="123" spans="1:20">
      <c r="A123" s="85" t="s">
        <v>56</v>
      </c>
      <c r="B123" s="89"/>
      <c r="C123" s="76">
        <v>9</v>
      </c>
      <c r="D123" s="76">
        <v>9</v>
      </c>
      <c r="E123" s="100">
        <v>304875584</v>
      </c>
      <c r="F123" s="100">
        <v>1274615</v>
      </c>
      <c r="G123" s="100">
        <v>306150199</v>
      </c>
      <c r="H123" s="96">
        <v>33</v>
      </c>
      <c r="I123" s="100">
        <v>26037500</v>
      </c>
      <c r="J123" s="100">
        <v>23178326</v>
      </c>
      <c r="K123" s="100">
        <v>49215826</v>
      </c>
      <c r="L123" s="96">
        <v>35</v>
      </c>
      <c r="M123" s="100">
        <v>20837500</v>
      </c>
      <c r="N123" s="100">
        <v>23178326</v>
      </c>
      <c r="O123" s="100">
        <v>44015826</v>
      </c>
      <c r="P123" s="96">
        <v>35</v>
      </c>
      <c r="Q123" s="100">
        <v>0</v>
      </c>
      <c r="R123" s="100">
        <v>23178326</v>
      </c>
      <c r="S123" s="100">
        <v>23178326</v>
      </c>
      <c r="T123" s="96">
        <v>35</v>
      </c>
    </row>
    <row r="124" spans="1:20">
      <c r="A124" s="86" t="s">
        <v>56</v>
      </c>
      <c r="B124" s="90"/>
      <c r="C124" s="77">
        <v>10</v>
      </c>
      <c r="D124" s="77">
        <v>1</v>
      </c>
      <c r="E124" s="101">
        <v>6499850</v>
      </c>
      <c r="F124" s="101">
        <v>381365</v>
      </c>
      <c r="G124" s="101">
        <v>6881215</v>
      </c>
      <c r="H124" s="97">
        <v>51</v>
      </c>
      <c r="I124" s="101">
        <v>23955122</v>
      </c>
      <c r="J124" s="101">
        <v>860422</v>
      </c>
      <c r="K124" s="101">
        <v>24815544</v>
      </c>
      <c r="L124" s="97">
        <v>60</v>
      </c>
      <c r="M124" s="101">
        <v>3075034</v>
      </c>
      <c r="N124" s="101">
        <v>39360422</v>
      </c>
      <c r="O124" s="101">
        <v>42435456</v>
      </c>
      <c r="P124" s="97">
        <v>72</v>
      </c>
      <c r="Q124" s="101">
        <v>12475408</v>
      </c>
      <c r="R124" s="101">
        <v>39477422</v>
      </c>
      <c r="S124" s="101">
        <v>51952830</v>
      </c>
      <c r="T124" s="97">
        <v>74</v>
      </c>
    </row>
    <row r="125" spans="1:20">
      <c r="A125" s="85" t="s">
        <v>56</v>
      </c>
      <c r="B125" s="89"/>
      <c r="C125" s="76">
        <v>10</v>
      </c>
      <c r="D125" s="76">
        <v>2</v>
      </c>
      <c r="E125" s="100">
        <v>83768467</v>
      </c>
      <c r="F125" s="100">
        <v>29994509</v>
      </c>
      <c r="G125" s="100">
        <v>113762976</v>
      </c>
      <c r="H125" s="96">
        <v>759</v>
      </c>
      <c r="I125" s="100">
        <v>116827031</v>
      </c>
      <c r="J125" s="100">
        <v>63740597</v>
      </c>
      <c r="K125" s="100">
        <v>180567628</v>
      </c>
      <c r="L125" s="96">
        <v>905</v>
      </c>
      <c r="M125" s="100">
        <v>353268692</v>
      </c>
      <c r="N125" s="100">
        <v>132824746</v>
      </c>
      <c r="O125" s="100">
        <v>486093438</v>
      </c>
      <c r="P125" s="96">
        <v>992</v>
      </c>
      <c r="Q125" s="100">
        <v>546364475</v>
      </c>
      <c r="R125" s="100">
        <v>211102037</v>
      </c>
      <c r="S125" s="100">
        <v>757466512</v>
      </c>
      <c r="T125" s="96">
        <v>1007</v>
      </c>
    </row>
    <row r="126" spans="1:20">
      <c r="A126" s="86" t="s">
        <v>56</v>
      </c>
      <c r="B126" s="90"/>
      <c r="C126" s="77">
        <v>10</v>
      </c>
      <c r="D126" s="77">
        <v>3</v>
      </c>
      <c r="E126" s="101">
        <v>304232597</v>
      </c>
      <c r="F126" s="101">
        <v>305662445</v>
      </c>
      <c r="G126" s="101">
        <v>609895042</v>
      </c>
      <c r="H126" s="97">
        <v>15750</v>
      </c>
      <c r="I126" s="101">
        <v>147175468</v>
      </c>
      <c r="J126" s="101">
        <v>553668096</v>
      </c>
      <c r="K126" s="101">
        <v>700843564</v>
      </c>
      <c r="L126" s="97">
        <v>17014</v>
      </c>
      <c r="M126" s="101">
        <v>406130019</v>
      </c>
      <c r="N126" s="101">
        <v>670037239</v>
      </c>
      <c r="O126" s="101">
        <v>1076167258</v>
      </c>
      <c r="P126" s="97">
        <v>18170</v>
      </c>
      <c r="Q126" s="101">
        <v>188183975</v>
      </c>
      <c r="R126" s="101">
        <v>815633927</v>
      </c>
      <c r="S126" s="101">
        <v>1003817902</v>
      </c>
      <c r="T126" s="97">
        <v>18211</v>
      </c>
    </row>
    <row r="127" spans="1:20">
      <c r="A127" s="85" t="s">
        <v>56</v>
      </c>
      <c r="B127" s="89"/>
      <c r="C127" s="76">
        <v>10</v>
      </c>
      <c r="D127" s="76">
        <v>4</v>
      </c>
      <c r="E127" s="100">
        <v>11347055</v>
      </c>
      <c r="F127" s="100">
        <v>102128702</v>
      </c>
      <c r="G127" s="100">
        <v>113475757</v>
      </c>
      <c r="H127" s="96">
        <v>523</v>
      </c>
      <c r="I127" s="100">
        <v>654043</v>
      </c>
      <c r="J127" s="100">
        <v>136324509</v>
      </c>
      <c r="K127" s="100">
        <v>136978552</v>
      </c>
      <c r="L127" s="96">
        <v>576</v>
      </c>
      <c r="M127" s="100">
        <v>4000</v>
      </c>
      <c r="N127" s="100">
        <v>136515016</v>
      </c>
      <c r="O127" s="100">
        <v>136519016</v>
      </c>
      <c r="P127" s="96">
        <v>576</v>
      </c>
      <c r="Q127" s="100">
        <v>0</v>
      </c>
      <c r="R127" s="100">
        <v>136681323</v>
      </c>
      <c r="S127" s="100">
        <v>136681323</v>
      </c>
      <c r="T127" s="96">
        <v>576</v>
      </c>
    </row>
    <row r="128" spans="1:20">
      <c r="A128" s="86" t="s">
        <v>56</v>
      </c>
      <c r="B128" s="90"/>
      <c r="C128" s="77">
        <v>10</v>
      </c>
      <c r="D128" s="77">
        <v>5</v>
      </c>
      <c r="E128" s="101">
        <v>130072375</v>
      </c>
      <c r="F128" s="101">
        <v>115706692</v>
      </c>
      <c r="G128" s="101">
        <v>245779067</v>
      </c>
      <c r="H128" s="97">
        <v>104</v>
      </c>
      <c r="I128" s="101">
        <v>3527034</v>
      </c>
      <c r="J128" s="101">
        <v>240832389</v>
      </c>
      <c r="K128" s="101">
        <v>244359423</v>
      </c>
      <c r="L128" s="97">
        <v>115</v>
      </c>
      <c r="M128" s="101">
        <v>2812279</v>
      </c>
      <c r="N128" s="101">
        <v>240850697</v>
      </c>
      <c r="O128" s="101">
        <v>243662976</v>
      </c>
      <c r="P128" s="97">
        <v>116</v>
      </c>
      <c r="Q128" s="101">
        <v>17250923</v>
      </c>
      <c r="R128" s="101">
        <v>242298297</v>
      </c>
      <c r="S128" s="101">
        <v>259549220</v>
      </c>
      <c r="T128" s="97">
        <v>117</v>
      </c>
    </row>
    <row r="129" spans="1:20">
      <c r="A129" s="85" t="s">
        <v>56</v>
      </c>
      <c r="B129" s="89"/>
      <c r="C129" s="76">
        <v>10</v>
      </c>
      <c r="D129" s="76">
        <v>6</v>
      </c>
      <c r="E129" s="100">
        <v>5753440</v>
      </c>
      <c r="F129" s="100">
        <v>9455306</v>
      </c>
      <c r="G129" s="100">
        <v>15208746</v>
      </c>
      <c r="H129" s="96">
        <v>34</v>
      </c>
      <c r="I129" s="100">
        <v>0</v>
      </c>
      <c r="J129" s="100">
        <v>18949885</v>
      </c>
      <c r="K129" s="100">
        <v>18949885</v>
      </c>
      <c r="L129" s="96">
        <v>35</v>
      </c>
      <c r="M129" s="100">
        <v>0</v>
      </c>
      <c r="N129" s="100">
        <v>18949885</v>
      </c>
      <c r="O129" s="100">
        <v>18949885</v>
      </c>
      <c r="P129" s="96">
        <v>35</v>
      </c>
      <c r="Q129" s="100">
        <v>0</v>
      </c>
      <c r="R129" s="100">
        <v>18949885</v>
      </c>
      <c r="S129" s="100">
        <v>18949885</v>
      </c>
      <c r="T129" s="96">
        <v>35</v>
      </c>
    </row>
    <row r="130" spans="1:20">
      <c r="A130" s="86" t="s">
        <v>56</v>
      </c>
      <c r="B130" s="90"/>
      <c r="C130" s="77">
        <v>10</v>
      </c>
      <c r="D130" s="77">
        <v>7</v>
      </c>
      <c r="E130" s="101">
        <v>25174056</v>
      </c>
      <c r="F130" s="101">
        <v>44119011</v>
      </c>
      <c r="G130" s="101">
        <v>69293067</v>
      </c>
      <c r="H130" s="97">
        <v>47</v>
      </c>
      <c r="I130" s="101">
        <v>5397132</v>
      </c>
      <c r="J130" s="101">
        <v>74369809</v>
      </c>
      <c r="K130" s="101">
        <v>79766941</v>
      </c>
      <c r="L130" s="97">
        <v>49</v>
      </c>
      <c r="M130" s="101">
        <v>0</v>
      </c>
      <c r="N130" s="101">
        <v>74422288</v>
      </c>
      <c r="O130" s="101">
        <v>74422288</v>
      </c>
      <c r="P130" s="97">
        <v>49</v>
      </c>
      <c r="Q130" s="101">
        <v>0</v>
      </c>
      <c r="R130" s="101">
        <v>74422288</v>
      </c>
      <c r="S130" s="101">
        <v>74422288</v>
      </c>
      <c r="T130" s="97">
        <v>49</v>
      </c>
    </row>
    <row r="131" spans="1:20">
      <c r="A131" s="85" t="s">
        <v>56</v>
      </c>
      <c r="B131" s="89"/>
      <c r="C131" s="76">
        <v>10</v>
      </c>
      <c r="D131" s="76">
        <v>8</v>
      </c>
      <c r="E131" s="100">
        <v>25618313</v>
      </c>
      <c r="F131" s="100">
        <v>82318322</v>
      </c>
      <c r="G131" s="100">
        <v>107936635</v>
      </c>
      <c r="H131" s="96">
        <v>1061</v>
      </c>
      <c r="I131" s="100">
        <v>786507</v>
      </c>
      <c r="J131" s="100">
        <v>136446466</v>
      </c>
      <c r="K131" s="100">
        <v>137232973</v>
      </c>
      <c r="L131" s="96">
        <v>1130</v>
      </c>
      <c r="M131" s="100">
        <v>2026390</v>
      </c>
      <c r="N131" s="100">
        <v>138947252</v>
      </c>
      <c r="O131" s="100">
        <v>140973642</v>
      </c>
      <c r="P131" s="96">
        <v>1134</v>
      </c>
      <c r="Q131" s="100">
        <v>2604867</v>
      </c>
      <c r="R131" s="100">
        <v>138947252</v>
      </c>
      <c r="S131" s="100">
        <v>141552119</v>
      </c>
      <c r="T131" s="96">
        <v>1135</v>
      </c>
    </row>
    <row r="132" spans="1:20">
      <c r="A132" s="86" t="s">
        <v>56</v>
      </c>
      <c r="B132" s="90"/>
      <c r="C132" s="77">
        <v>10</v>
      </c>
      <c r="D132" s="77">
        <v>9</v>
      </c>
      <c r="E132" s="101">
        <v>202371072</v>
      </c>
      <c r="F132" s="101">
        <v>251168348</v>
      </c>
      <c r="G132" s="101">
        <v>453539420</v>
      </c>
      <c r="H132" s="97">
        <v>205</v>
      </c>
      <c r="I132" s="101">
        <v>19638201</v>
      </c>
      <c r="J132" s="101">
        <v>430449492</v>
      </c>
      <c r="K132" s="101">
        <v>450087693</v>
      </c>
      <c r="L132" s="97">
        <v>227</v>
      </c>
      <c r="M132" s="101">
        <v>45046553</v>
      </c>
      <c r="N132" s="101">
        <v>448922992</v>
      </c>
      <c r="O132" s="101">
        <v>493969545</v>
      </c>
      <c r="P132" s="97">
        <v>227</v>
      </c>
      <c r="Q132" s="101">
        <v>71804438</v>
      </c>
      <c r="R132" s="101">
        <v>448922992</v>
      </c>
      <c r="S132" s="101">
        <v>520727430</v>
      </c>
      <c r="T132" s="97">
        <v>227</v>
      </c>
    </row>
    <row r="133" spans="1:20">
      <c r="A133" s="85" t="s">
        <v>56</v>
      </c>
      <c r="B133" s="89"/>
      <c r="C133" s="76">
        <v>20</v>
      </c>
      <c r="D133" s="76">
        <v>1</v>
      </c>
      <c r="E133" s="100">
        <v>1952498</v>
      </c>
      <c r="F133" s="100">
        <v>133589</v>
      </c>
      <c r="G133" s="100">
        <v>2086087</v>
      </c>
      <c r="H133" s="96">
        <v>94</v>
      </c>
      <c r="I133" s="100">
        <v>5907806</v>
      </c>
      <c r="J133" s="100">
        <v>1829210</v>
      </c>
      <c r="K133" s="100">
        <v>7737016</v>
      </c>
      <c r="L133" s="96">
        <v>118</v>
      </c>
      <c r="M133" s="100">
        <v>238708400</v>
      </c>
      <c r="N133" s="100">
        <v>1829650</v>
      </c>
      <c r="O133" s="100">
        <v>240538050</v>
      </c>
      <c r="P133" s="96">
        <v>243</v>
      </c>
      <c r="Q133" s="100">
        <v>45753015</v>
      </c>
      <c r="R133" s="100">
        <v>1829650</v>
      </c>
      <c r="S133" s="100">
        <v>47582665</v>
      </c>
      <c r="T133" s="96">
        <v>244</v>
      </c>
    </row>
    <row r="134" spans="1:20">
      <c r="A134" s="86" t="s">
        <v>56</v>
      </c>
      <c r="B134" s="90"/>
      <c r="C134" s="77">
        <v>20</v>
      </c>
      <c r="D134" s="77">
        <v>2</v>
      </c>
      <c r="E134" s="101">
        <v>31812071</v>
      </c>
      <c r="F134" s="101">
        <v>27112725</v>
      </c>
      <c r="G134" s="101">
        <v>58924796</v>
      </c>
      <c r="H134" s="97">
        <v>478</v>
      </c>
      <c r="I134" s="101">
        <v>104602003</v>
      </c>
      <c r="J134" s="101">
        <v>50388811</v>
      </c>
      <c r="K134" s="101">
        <v>154990814</v>
      </c>
      <c r="L134" s="97">
        <v>650</v>
      </c>
      <c r="M134" s="101">
        <v>743974866</v>
      </c>
      <c r="N134" s="101">
        <v>71982809</v>
      </c>
      <c r="O134" s="101">
        <v>815957675</v>
      </c>
      <c r="P134" s="97">
        <v>795</v>
      </c>
      <c r="Q134" s="101">
        <v>363938704</v>
      </c>
      <c r="R134" s="101">
        <v>582070699</v>
      </c>
      <c r="S134" s="101">
        <v>946009403</v>
      </c>
      <c r="T134" s="97">
        <v>803</v>
      </c>
    </row>
    <row r="135" spans="1:20">
      <c r="A135" s="85" t="s">
        <v>56</v>
      </c>
      <c r="B135" s="89"/>
      <c r="C135" s="76">
        <v>20</v>
      </c>
      <c r="D135" s="76">
        <v>3</v>
      </c>
      <c r="E135" s="100">
        <v>18786590</v>
      </c>
      <c r="F135" s="100">
        <v>52684975</v>
      </c>
      <c r="G135" s="100">
        <v>71471565</v>
      </c>
      <c r="H135" s="96">
        <v>3242</v>
      </c>
      <c r="I135" s="100">
        <v>17759648</v>
      </c>
      <c r="J135" s="100">
        <v>96684269</v>
      </c>
      <c r="K135" s="100">
        <v>114443917</v>
      </c>
      <c r="L135" s="96">
        <v>3669</v>
      </c>
      <c r="M135" s="100">
        <v>63241070</v>
      </c>
      <c r="N135" s="100">
        <v>97975591</v>
      </c>
      <c r="O135" s="100">
        <v>161216661</v>
      </c>
      <c r="P135" s="96">
        <v>7188</v>
      </c>
      <c r="Q135" s="100">
        <v>60598999</v>
      </c>
      <c r="R135" s="100">
        <v>129575291</v>
      </c>
      <c r="S135" s="100">
        <v>190174290</v>
      </c>
      <c r="T135" s="96">
        <v>7214</v>
      </c>
    </row>
    <row r="136" spans="1:20">
      <c r="A136" s="86" t="s">
        <v>56</v>
      </c>
      <c r="B136" s="90"/>
      <c r="C136" s="77">
        <v>20</v>
      </c>
      <c r="D136" s="77">
        <v>4</v>
      </c>
      <c r="E136" s="101">
        <v>208726</v>
      </c>
      <c r="F136" s="101">
        <v>7003685</v>
      </c>
      <c r="G136" s="101">
        <v>7212411</v>
      </c>
      <c r="H136" s="97">
        <v>180</v>
      </c>
      <c r="I136" s="101">
        <v>0</v>
      </c>
      <c r="J136" s="101">
        <v>8938042</v>
      </c>
      <c r="K136" s="101">
        <v>8938042</v>
      </c>
      <c r="L136" s="97">
        <v>241</v>
      </c>
      <c r="M136" s="101">
        <v>0</v>
      </c>
      <c r="N136" s="101">
        <v>8938042</v>
      </c>
      <c r="O136" s="101">
        <v>8938042</v>
      </c>
      <c r="P136" s="97">
        <v>241</v>
      </c>
      <c r="Q136" s="101">
        <v>0</v>
      </c>
      <c r="R136" s="101">
        <v>8938042</v>
      </c>
      <c r="S136" s="101">
        <v>8938042</v>
      </c>
      <c r="T136" s="97">
        <v>241</v>
      </c>
    </row>
    <row r="137" spans="1:20">
      <c r="A137" s="85" t="s">
        <v>56</v>
      </c>
      <c r="B137" s="89"/>
      <c r="C137" s="76">
        <v>20</v>
      </c>
      <c r="D137" s="76">
        <v>5</v>
      </c>
      <c r="E137" s="100">
        <v>7113</v>
      </c>
      <c r="F137" s="100">
        <v>22387248</v>
      </c>
      <c r="G137" s="100">
        <v>22394361</v>
      </c>
      <c r="H137" s="96">
        <v>25</v>
      </c>
      <c r="I137" s="100">
        <v>0</v>
      </c>
      <c r="J137" s="100">
        <v>25289126</v>
      </c>
      <c r="K137" s="100">
        <v>25289126</v>
      </c>
      <c r="L137" s="96">
        <v>36</v>
      </c>
      <c r="M137" s="100">
        <v>0</v>
      </c>
      <c r="N137" s="100">
        <v>25289126</v>
      </c>
      <c r="O137" s="100">
        <v>25289126</v>
      </c>
      <c r="P137" s="96">
        <v>36</v>
      </c>
      <c r="Q137" s="100">
        <v>0</v>
      </c>
      <c r="R137" s="100">
        <v>25289126</v>
      </c>
      <c r="S137" s="100">
        <v>25289126</v>
      </c>
      <c r="T137" s="96">
        <v>36</v>
      </c>
    </row>
    <row r="138" spans="1:20">
      <c r="A138" s="86" t="s">
        <v>56</v>
      </c>
      <c r="B138" s="90"/>
      <c r="C138" s="77">
        <v>20</v>
      </c>
      <c r="D138" s="77">
        <v>6</v>
      </c>
      <c r="E138" s="101">
        <v>13500</v>
      </c>
      <c r="F138" s="101">
        <v>73106</v>
      </c>
      <c r="G138" s="101">
        <v>86606</v>
      </c>
      <c r="H138" s="97">
        <v>4</v>
      </c>
      <c r="I138" s="101">
        <v>0</v>
      </c>
      <c r="J138" s="101">
        <v>120130</v>
      </c>
      <c r="K138" s="101">
        <v>120130</v>
      </c>
      <c r="L138" s="97">
        <v>5</v>
      </c>
      <c r="M138" s="101">
        <v>0</v>
      </c>
      <c r="N138" s="101">
        <v>120130</v>
      </c>
      <c r="O138" s="101">
        <v>120130</v>
      </c>
      <c r="P138" s="97">
        <v>5</v>
      </c>
      <c r="Q138" s="101">
        <v>0</v>
      </c>
      <c r="R138" s="101">
        <v>120130</v>
      </c>
      <c r="S138" s="101">
        <v>120130</v>
      </c>
      <c r="T138" s="97">
        <v>5</v>
      </c>
    </row>
    <row r="139" spans="1:20">
      <c r="A139" s="85" t="s">
        <v>56</v>
      </c>
      <c r="B139" s="89"/>
      <c r="C139" s="76">
        <v>20</v>
      </c>
      <c r="D139" s="76">
        <v>7</v>
      </c>
      <c r="E139" s="100">
        <v>0</v>
      </c>
      <c r="F139" s="100">
        <v>2175000</v>
      </c>
      <c r="G139" s="100">
        <v>2175000</v>
      </c>
      <c r="H139" s="96">
        <v>4</v>
      </c>
      <c r="I139" s="100">
        <v>0</v>
      </c>
      <c r="J139" s="100">
        <v>6371000</v>
      </c>
      <c r="K139" s="100">
        <v>6371000</v>
      </c>
      <c r="L139" s="96">
        <v>7</v>
      </c>
      <c r="M139" s="100">
        <v>0</v>
      </c>
      <c r="N139" s="100">
        <v>6371000</v>
      </c>
      <c r="O139" s="100">
        <v>6371000</v>
      </c>
      <c r="P139" s="96">
        <v>7</v>
      </c>
      <c r="Q139" s="100">
        <v>0</v>
      </c>
      <c r="R139" s="100">
        <v>6371000</v>
      </c>
      <c r="S139" s="100">
        <v>6371000</v>
      </c>
      <c r="T139" s="96">
        <v>7</v>
      </c>
    </row>
    <row r="140" spans="1:20">
      <c r="A140" s="86" t="s">
        <v>56</v>
      </c>
      <c r="B140" s="90"/>
      <c r="C140" s="77">
        <v>20</v>
      </c>
      <c r="D140" s="77">
        <v>8</v>
      </c>
      <c r="E140" s="101">
        <v>3402207</v>
      </c>
      <c r="F140" s="101">
        <v>33929310</v>
      </c>
      <c r="G140" s="101">
        <v>37331517</v>
      </c>
      <c r="H140" s="97">
        <v>491</v>
      </c>
      <c r="I140" s="101">
        <v>19822</v>
      </c>
      <c r="J140" s="101">
        <v>48075386</v>
      </c>
      <c r="K140" s="101">
        <v>48095208</v>
      </c>
      <c r="L140" s="97">
        <v>664</v>
      </c>
      <c r="M140" s="101">
        <v>0</v>
      </c>
      <c r="N140" s="101">
        <v>48457742</v>
      </c>
      <c r="O140" s="101">
        <v>48457742</v>
      </c>
      <c r="P140" s="97">
        <v>664</v>
      </c>
      <c r="Q140" s="101">
        <v>0</v>
      </c>
      <c r="R140" s="101">
        <v>48457742</v>
      </c>
      <c r="S140" s="101">
        <v>48457742</v>
      </c>
      <c r="T140" s="97">
        <v>664</v>
      </c>
    </row>
    <row r="141" spans="1:20">
      <c r="A141" s="85" t="s">
        <v>56</v>
      </c>
      <c r="B141" s="89"/>
      <c r="C141" s="76">
        <v>20</v>
      </c>
      <c r="D141" s="76">
        <v>9</v>
      </c>
      <c r="E141" s="100">
        <v>2119500</v>
      </c>
      <c r="F141" s="100">
        <v>23419387</v>
      </c>
      <c r="G141" s="100">
        <v>25538887</v>
      </c>
      <c r="H141" s="96">
        <v>30</v>
      </c>
      <c r="I141" s="100">
        <v>279000</v>
      </c>
      <c r="J141" s="100">
        <v>31738339</v>
      </c>
      <c r="K141" s="100">
        <v>32017339</v>
      </c>
      <c r="L141" s="96">
        <v>50</v>
      </c>
      <c r="M141" s="100">
        <v>279000</v>
      </c>
      <c r="N141" s="100">
        <v>31738339</v>
      </c>
      <c r="O141" s="100">
        <v>32017339</v>
      </c>
      <c r="P141" s="96">
        <v>50</v>
      </c>
      <c r="Q141" s="100">
        <v>279000</v>
      </c>
      <c r="R141" s="100">
        <v>31738339</v>
      </c>
      <c r="S141" s="100">
        <v>32017339</v>
      </c>
      <c r="T141" s="96">
        <v>50</v>
      </c>
    </row>
    <row r="142" spans="1:20">
      <c r="A142" s="86" t="s">
        <v>56</v>
      </c>
      <c r="B142" s="90"/>
      <c r="C142" s="77">
        <v>21</v>
      </c>
      <c r="D142" s="77">
        <v>1</v>
      </c>
      <c r="E142" s="101">
        <v>11128100</v>
      </c>
      <c r="F142" s="101">
        <v>27038695</v>
      </c>
      <c r="G142" s="101">
        <v>38166795</v>
      </c>
      <c r="H142" s="97">
        <v>328</v>
      </c>
      <c r="I142" s="101">
        <v>21098399</v>
      </c>
      <c r="J142" s="101">
        <v>39797743</v>
      </c>
      <c r="K142" s="101">
        <v>60896142</v>
      </c>
      <c r="L142" s="97">
        <v>342</v>
      </c>
      <c r="M142" s="101">
        <v>41182096</v>
      </c>
      <c r="N142" s="101">
        <v>53363480</v>
      </c>
      <c r="O142" s="101">
        <v>94545576</v>
      </c>
      <c r="P142" s="97">
        <v>387</v>
      </c>
      <c r="Q142" s="101">
        <v>64091291</v>
      </c>
      <c r="R142" s="101">
        <v>54280217</v>
      </c>
      <c r="S142" s="101">
        <v>118371508</v>
      </c>
      <c r="T142" s="97">
        <v>388</v>
      </c>
    </row>
    <row r="143" spans="1:20">
      <c r="A143" s="85" t="s">
        <v>56</v>
      </c>
      <c r="B143" s="89"/>
      <c r="C143" s="76">
        <v>21</v>
      </c>
      <c r="D143" s="76">
        <v>2</v>
      </c>
      <c r="E143" s="100">
        <v>37778365</v>
      </c>
      <c r="F143" s="100">
        <v>14182700</v>
      </c>
      <c r="G143" s="100">
        <v>51961065</v>
      </c>
      <c r="H143" s="96">
        <v>506</v>
      </c>
      <c r="I143" s="100">
        <v>46063276</v>
      </c>
      <c r="J143" s="100">
        <v>41281038</v>
      </c>
      <c r="K143" s="100">
        <v>87344314</v>
      </c>
      <c r="L143" s="96">
        <v>585</v>
      </c>
      <c r="M143" s="100">
        <v>135594808</v>
      </c>
      <c r="N143" s="100">
        <v>53935078</v>
      </c>
      <c r="O143" s="100">
        <v>189529886</v>
      </c>
      <c r="P143" s="96">
        <v>633</v>
      </c>
      <c r="Q143" s="100">
        <v>106154630</v>
      </c>
      <c r="R143" s="100">
        <v>123314523</v>
      </c>
      <c r="S143" s="100">
        <v>229469153</v>
      </c>
      <c r="T143" s="96">
        <v>634</v>
      </c>
    </row>
    <row r="144" spans="1:20">
      <c r="A144" s="86" t="s">
        <v>56</v>
      </c>
      <c r="B144" s="90"/>
      <c r="C144" s="77">
        <v>21</v>
      </c>
      <c r="D144" s="77">
        <v>3</v>
      </c>
      <c r="E144" s="101">
        <v>40728676</v>
      </c>
      <c r="F144" s="101">
        <v>44646561</v>
      </c>
      <c r="G144" s="101">
        <v>85375237</v>
      </c>
      <c r="H144" s="97">
        <v>2434</v>
      </c>
      <c r="I144" s="101">
        <v>22875771</v>
      </c>
      <c r="J144" s="101">
        <v>70865257</v>
      </c>
      <c r="K144" s="101">
        <v>93741028</v>
      </c>
      <c r="L144" s="97">
        <v>2628</v>
      </c>
      <c r="M144" s="101">
        <v>33949274</v>
      </c>
      <c r="N144" s="101">
        <v>72536159</v>
      </c>
      <c r="O144" s="101">
        <v>106485433</v>
      </c>
      <c r="P144" s="97">
        <v>3830</v>
      </c>
      <c r="Q144" s="101">
        <v>121367772</v>
      </c>
      <c r="R144" s="101">
        <v>77564849</v>
      </c>
      <c r="S144" s="101">
        <v>198932621</v>
      </c>
      <c r="T144" s="97">
        <v>3836</v>
      </c>
    </row>
    <row r="145" spans="1:20">
      <c r="A145" s="85" t="s">
        <v>56</v>
      </c>
      <c r="B145" s="89"/>
      <c r="C145" s="76">
        <v>21</v>
      </c>
      <c r="D145" s="76">
        <v>4</v>
      </c>
      <c r="E145" s="100">
        <v>742348</v>
      </c>
      <c r="F145" s="100">
        <v>9326879</v>
      </c>
      <c r="G145" s="100">
        <v>10069227</v>
      </c>
      <c r="H145" s="96">
        <v>169</v>
      </c>
      <c r="I145" s="100">
        <v>18966</v>
      </c>
      <c r="J145" s="100">
        <v>11688897</v>
      </c>
      <c r="K145" s="100">
        <v>11707863</v>
      </c>
      <c r="L145" s="96">
        <v>186</v>
      </c>
      <c r="M145" s="100">
        <v>0</v>
      </c>
      <c r="N145" s="100">
        <v>11688897</v>
      </c>
      <c r="O145" s="100">
        <v>11688897</v>
      </c>
      <c r="P145" s="96">
        <v>186</v>
      </c>
      <c r="Q145" s="100">
        <v>0</v>
      </c>
      <c r="R145" s="100">
        <v>11729587</v>
      </c>
      <c r="S145" s="100">
        <v>11729587</v>
      </c>
      <c r="T145" s="96">
        <v>186</v>
      </c>
    </row>
    <row r="146" spans="1:20">
      <c r="A146" s="86" t="s">
        <v>56</v>
      </c>
      <c r="B146" s="90"/>
      <c r="C146" s="77">
        <v>21</v>
      </c>
      <c r="D146" s="77">
        <v>5</v>
      </c>
      <c r="E146" s="101">
        <v>8105088</v>
      </c>
      <c r="F146" s="101">
        <v>32369968</v>
      </c>
      <c r="G146" s="101">
        <v>40475056</v>
      </c>
      <c r="H146" s="97">
        <v>53</v>
      </c>
      <c r="I146" s="101">
        <v>488075</v>
      </c>
      <c r="J146" s="101">
        <v>39042879</v>
      </c>
      <c r="K146" s="101">
        <v>39530954</v>
      </c>
      <c r="L146" s="97">
        <v>55</v>
      </c>
      <c r="M146" s="101">
        <v>172164</v>
      </c>
      <c r="N146" s="101">
        <v>39092503</v>
      </c>
      <c r="O146" s="101">
        <v>39264667</v>
      </c>
      <c r="P146" s="97">
        <v>60</v>
      </c>
      <c r="Q146" s="101">
        <v>0</v>
      </c>
      <c r="R146" s="101">
        <v>51635403</v>
      </c>
      <c r="S146" s="101">
        <v>51635403</v>
      </c>
      <c r="T146" s="97">
        <v>64</v>
      </c>
    </row>
    <row r="147" spans="1:20">
      <c r="A147" s="85" t="s">
        <v>56</v>
      </c>
      <c r="B147" s="89"/>
      <c r="C147" s="76">
        <v>21</v>
      </c>
      <c r="D147" s="76">
        <v>6</v>
      </c>
      <c r="E147" s="100">
        <v>311709</v>
      </c>
      <c r="F147" s="100">
        <v>692000</v>
      </c>
      <c r="G147" s="100">
        <v>1003709</v>
      </c>
      <c r="H147" s="96">
        <v>4</v>
      </c>
      <c r="I147" s="100">
        <v>398190</v>
      </c>
      <c r="J147" s="100">
        <v>1328647</v>
      </c>
      <c r="K147" s="100">
        <v>1726837</v>
      </c>
      <c r="L147" s="96">
        <v>4</v>
      </c>
      <c r="M147" s="100">
        <v>0</v>
      </c>
      <c r="N147" s="100">
        <v>1328647</v>
      </c>
      <c r="O147" s="100">
        <v>1328647</v>
      </c>
      <c r="P147" s="96">
        <v>4</v>
      </c>
      <c r="Q147" s="100">
        <v>0</v>
      </c>
      <c r="R147" s="100">
        <v>1328647</v>
      </c>
      <c r="S147" s="100">
        <v>1328647</v>
      </c>
      <c r="T147" s="96">
        <v>4</v>
      </c>
    </row>
    <row r="148" spans="1:20">
      <c r="A148" s="86" t="s">
        <v>56</v>
      </c>
      <c r="B148" s="90"/>
      <c r="C148" s="77">
        <v>21</v>
      </c>
      <c r="D148" s="77">
        <v>7</v>
      </c>
      <c r="E148" s="101">
        <v>0</v>
      </c>
      <c r="F148" s="101">
        <v>2628450</v>
      </c>
      <c r="G148" s="101">
        <v>2628450</v>
      </c>
      <c r="H148" s="97">
        <v>4</v>
      </c>
      <c r="I148" s="101">
        <v>0</v>
      </c>
      <c r="J148" s="101">
        <v>2628450</v>
      </c>
      <c r="K148" s="101">
        <v>2628450</v>
      </c>
      <c r="L148" s="97">
        <v>5</v>
      </c>
      <c r="M148" s="101">
        <v>0</v>
      </c>
      <c r="N148" s="101">
        <v>2628450</v>
      </c>
      <c r="O148" s="101">
        <v>2628450</v>
      </c>
      <c r="P148" s="97">
        <v>5</v>
      </c>
      <c r="Q148" s="101">
        <v>0</v>
      </c>
      <c r="R148" s="101">
        <v>2628450</v>
      </c>
      <c r="S148" s="101">
        <v>2628450</v>
      </c>
      <c r="T148" s="97">
        <v>5</v>
      </c>
    </row>
    <row r="149" spans="1:20">
      <c r="A149" s="85" t="s">
        <v>56</v>
      </c>
      <c r="B149" s="89"/>
      <c r="C149" s="76">
        <v>21</v>
      </c>
      <c r="D149" s="76">
        <v>8</v>
      </c>
      <c r="E149" s="100">
        <v>4124603</v>
      </c>
      <c r="F149" s="100">
        <v>25702497</v>
      </c>
      <c r="G149" s="100">
        <v>29827100</v>
      </c>
      <c r="H149" s="96">
        <v>494</v>
      </c>
      <c r="I149" s="100">
        <v>1880801</v>
      </c>
      <c r="J149" s="100">
        <v>38984480</v>
      </c>
      <c r="K149" s="100">
        <v>40865281</v>
      </c>
      <c r="L149" s="96">
        <v>569</v>
      </c>
      <c r="M149" s="100">
        <v>4050780</v>
      </c>
      <c r="N149" s="100">
        <v>39163180</v>
      </c>
      <c r="O149" s="100">
        <v>43213960</v>
      </c>
      <c r="P149" s="96">
        <v>570</v>
      </c>
      <c r="Q149" s="100">
        <v>2601867</v>
      </c>
      <c r="R149" s="100">
        <v>39163180</v>
      </c>
      <c r="S149" s="100">
        <v>41765047</v>
      </c>
      <c r="T149" s="96">
        <v>570</v>
      </c>
    </row>
    <row r="150" spans="1:20">
      <c r="A150" s="86" t="s">
        <v>56</v>
      </c>
      <c r="B150" s="90"/>
      <c r="C150" s="77">
        <v>21</v>
      </c>
      <c r="D150" s="77">
        <v>9</v>
      </c>
      <c r="E150" s="101">
        <v>5910060</v>
      </c>
      <c r="F150" s="101">
        <v>19192359</v>
      </c>
      <c r="G150" s="101">
        <v>25102419</v>
      </c>
      <c r="H150" s="97">
        <v>29</v>
      </c>
      <c r="I150" s="101">
        <v>640</v>
      </c>
      <c r="J150" s="101">
        <v>28195008</v>
      </c>
      <c r="K150" s="101">
        <v>28195648</v>
      </c>
      <c r="L150" s="97">
        <v>35</v>
      </c>
      <c r="M150" s="101">
        <v>0</v>
      </c>
      <c r="N150" s="101">
        <v>28195008</v>
      </c>
      <c r="O150" s="101">
        <v>28195008</v>
      </c>
      <c r="P150" s="97">
        <v>35</v>
      </c>
      <c r="Q150" s="101">
        <v>0</v>
      </c>
      <c r="R150" s="101">
        <v>28195008</v>
      </c>
      <c r="S150" s="101">
        <v>28195008</v>
      </c>
      <c r="T150" s="97">
        <v>35</v>
      </c>
    </row>
    <row r="151" spans="1:20">
      <c r="A151" s="85" t="s">
        <v>56</v>
      </c>
      <c r="B151" s="89"/>
      <c r="C151" s="76" t="s">
        <v>16</v>
      </c>
      <c r="D151" s="76">
        <v>1</v>
      </c>
      <c r="E151" s="100">
        <v>0</v>
      </c>
      <c r="F151" s="100">
        <v>31220</v>
      </c>
      <c r="G151" s="100">
        <v>31220</v>
      </c>
      <c r="H151" s="96">
        <v>37</v>
      </c>
      <c r="I151" s="100">
        <v>4466291</v>
      </c>
      <c r="J151" s="100">
        <v>259591</v>
      </c>
      <c r="K151" s="100">
        <v>4725882</v>
      </c>
      <c r="L151" s="96">
        <v>42</v>
      </c>
      <c r="M151" s="100">
        <v>34984816</v>
      </c>
      <c r="N151" s="100">
        <v>266191</v>
      </c>
      <c r="O151" s="100">
        <v>35251007</v>
      </c>
      <c r="P151" s="96">
        <v>93</v>
      </c>
      <c r="Q151" s="100">
        <v>4302086</v>
      </c>
      <c r="R151" s="100">
        <v>310191</v>
      </c>
      <c r="S151" s="100">
        <v>4612277</v>
      </c>
      <c r="T151" s="96">
        <v>93</v>
      </c>
    </row>
    <row r="152" spans="1:20">
      <c r="A152" s="86" t="s">
        <v>56</v>
      </c>
      <c r="B152" s="90"/>
      <c r="C152" s="77" t="s">
        <v>16</v>
      </c>
      <c r="D152" s="77">
        <v>2</v>
      </c>
      <c r="E152" s="101">
        <v>6567397</v>
      </c>
      <c r="F152" s="101">
        <v>9494408</v>
      </c>
      <c r="G152" s="101">
        <v>16061805</v>
      </c>
      <c r="H152" s="97">
        <v>124</v>
      </c>
      <c r="I152" s="101">
        <v>23020289</v>
      </c>
      <c r="J152" s="101">
        <v>13714796</v>
      </c>
      <c r="K152" s="101">
        <v>36735085</v>
      </c>
      <c r="L152" s="97">
        <v>194</v>
      </c>
      <c r="M152" s="101">
        <v>136138244</v>
      </c>
      <c r="N152" s="101">
        <v>16610043</v>
      </c>
      <c r="O152" s="101">
        <v>152748287</v>
      </c>
      <c r="P152" s="97">
        <v>235</v>
      </c>
      <c r="Q152" s="101">
        <v>98744088</v>
      </c>
      <c r="R152" s="101">
        <v>154746699</v>
      </c>
      <c r="S152" s="101">
        <v>253490787</v>
      </c>
      <c r="T152" s="97">
        <v>241</v>
      </c>
    </row>
    <row r="153" spans="1:20">
      <c r="A153" s="85" t="s">
        <v>56</v>
      </c>
      <c r="B153" s="89"/>
      <c r="C153" s="76" t="s">
        <v>16</v>
      </c>
      <c r="D153" s="76">
        <v>3</v>
      </c>
      <c r="E153" s="100">
        <v>4663006</v>
      </c>
      <c r="F153" s="100">
        <v>22632235</v>
      </c>
      <c r="G153" s="100">
        <v>27295241</v>
      </c>
      <c r="H153" s="96">
        <v>1097</v>
      </c>
      <c r="I153" s="100">
        <v>3508573</v>
      </c>
      <c r="J153" s="100">
        <v>35685353</v>
      </c>
      <c r="K153" s="100">
        <v>39193926</v>
      </c>
      <c r="L153" s="96">
        <v>1266</v>
      </c>
      <c r="M153" s="100">
        <v>20065189</v>
      </c>
      <c r="N153" s="100">
        <v>35844543</v>
      </c>
      <c r="O153" s="100">
        <v>55909732</v>
      </c>
      <c r="P153" s="96">
        <v>2360</v>
      </c>
      <c r="Q153" s="100">
        <v>37559966</v>
      </c>
      <c r="R153" s="100">
        <v>42247673</v>
      </c>
      <c r="S153" s="100">
        <v>79807639</v>
      </c>
      <c r="T153" s="96">
        <v>2374</v>
      </c>
    </row>
    <row r="154" spans="1:20">
      <c r="A154" s="86" t="s">
        <v>56</v>
      </c>
      <c r="B154" s="90"/>
      <c r="C154" s="77" t="s">
        <v>16</v>
      </c>
      <c r="D154" s="77">
        <v>4</v>
      </c>
      <c r="E154" s="101">
        <v>0</v>
      </c>
      <c r="F154" s="101">
        <v>3152263</v>
      </c>
      <c r="G154" s="101">
        <v>3152263</v>
      </c>
      <c r="H154" s="97">
        <v>111</v>
      </c>
      <c r="I154" s="101">
        <v>0</v>
      </c>
      <c r="J154" s="101">
        <v>4278318</v>
      </c>
      <c r="K154" s="101">
        <v>4278318</v>
      </c>
      <c r="L154" s="97">
        <v>151</v>
      </c>
      <c r="M154" s="101">
        <v>0</v>
      </c>
      <c r="N154" s="101">
        <v>4278318</v>
      </c>
      <c r="O154" s="101">
        <v>4278318</v>
      </c>
      <c r="P154" s="97">
        <v>151</v>
      </c>
      <c r="Q154" s="101">
        <v>0</v>
      </c>
      <c r="R154" s="101">
        <v>4278318</v>
      </c>
      <c r="S154" s="101">
        <v>4278318</v>
      </c>
      <c r="T154" s="97">
        <v>151</v>
      </c>
    </row>
    <row r="155" spans="1:20">
      <c r="A155" s="85" t="s">
        <v>56</v>
      </c>
      <c r="B155" s="89"/>
      <c r="C155" s="76" t="s">
        <v>16</v>
      </c>
      <c r="D155" s="76">
        <v>5</v>
      </c>
      <c r="E155" s="100">
        <v>0</v>
      </c>
      <c r="F155" s="100">
        <v>13049801</v>
      </c>
      <c r="G155" s="100">
        <v>13049801</v>
      </c>
      <c r="H155" s="96">
        <v>14</v>
      </c>
      <c r="I155" s="100">
        <v>0</v>
      </c>
      <c r="J155" s="100">
        <v>18157183</v>
      </c>
      <c r="K155" s="100">
        <v>18157183</v>
      </c>
      <c r="L155" s="96">
        <v>19</v>
      </c>
      <c r="M155" s="100">
        <v>0</v>
      </c>
      <c r="N155" s="100">
        <v>18157183</v>
      </c>
      <c r="O155" s="100">
        <v>18157183</v>
      </c>
      <c r="P155" s="96">
        <v>19</v>
      </c>
      <c r="Q155" s="100">
        <v>0</v>
      </c>
      <c r="R155" s="100">
        <v>18157183</v>
      </c>
      <c r="S155" s="100">
        <v>18157183</v>
      </c>
      <c r="T155" s="96">
        <v>19</v>
      </c>
    </row>
    <row r="156" spans="1:20">
      <c r="A156" s="86" t="s">
        <v>56</v>
      </c>
      <c r="B156" s="90"/>
      <c r="C156" s="77" t="s">
        <v>16</v>
      </c>
      <c r="D156" s="77">
        <v>6</v>
      </c>
      <c r="E156" s="101">
        <v>0</v>
      </c>
      <c r="F156" s="101">
        <v>290000</v>
      </c>
      <c r="G156" s="101">
        <v>290000</v>
      </c>
      <c r="H156" s="97">
        <v>3</v>
      </c>
      <c r="I156" s="101">
        <v>0</v>
      </c>
      <c r="J156" s="101">
        <v>325887</v>
      </c>
      <c r="K156" s="101">
        <v>325887</v>
      </c>
      <c r="L156" s="97">
        <v>5</v>
      </c>
      <c r="M156" s="101">
        <v>0</v>
      </c>
      <c r="N156" s="101">
        <v>325887</v>
      </c>
      <c r="O156" s="101">
        <v>325887</v>
      </c>
      <c r="P156" s="97">
        <v>5</v>
      </c>
      <c r="Q156" s="101">
        <v>0</v>
      </c>
      <c r="R156" s="101">
        <v>325887</v>
      </c>
      <c r="S156" s="101">
        <v>325887</v>
      </c>
      <c r="T156" s="97">
        <v>5</v>
      </c>
    </row>
    <row r="157" spans="1:20">
      <c r="A157" s="85" t="s">
        <v>56</v>
      </c>
      <c r="B157" s="89"/>
      <c r="C157" s="76" t="s">
        <v>16</v>
      </c>
      <c r="D157" s="76">
        <v>7</v>
      </c>
      <c r="E157" s="100">
        <v>0</v>
      </c>
      <c r="F157" s="100">
        <v>1565000</v>
      </c>
      <c r="G157" s="100">
        <v>1565000</v>
      </c>
      <c r="H157" s="96">
        <v>1</v>
      </c>
      <c r="I157" s="100">
        <v>0</v>
      </c>
      <c r="J157" s="100">
        <v>2413780</v>
      </c>
      <c r="K157" s="100">
        <v>2413780</v>
      </c>
      <c r="L157" s="96">
        <v>3</v>
      </c>
      <c r="M157" s="100">
        <v>0</v>
      </c>
      <c r="N157" s="100">
        <v>2413780</v>
      </c>
      <c r="O157" s="100">
        <v>2413780</v>
      </c>
      <c r="P157" s="96">
        <v>3</v>
      </c>
      <c r="Q157" s="100">
        <v>0</v>
      </c>
      <c r="R157" s="100">
        <v>2413780</v>
      </c>
      <c r="S157" s="100">
        <v>2413780</v>
      </c>
      <c r="T157" s="96">
        <v>3</v>
      </c>
    </row>
    <row r="158" spans="1:20">
      <c r="A158" s="86" t="s">
        <v>56</v>
      </c>
      <c r="B158" s="90"/>
      <c r="C158" s="77" t="s">
        <v>16</v>
      </c>
      <c r="D158" s="77">
        <v>8</v>
      </c>
      <c r="E158" s="101">
        <v>220209</v>
      </c>
      <c r="F158" s="101">
        <v>6014450</v>
      </c>
      <c r="G158" s="101">
        <v>6234659</v>
      </c>
      <c r="H158" s="97">
        <v>145</v>
      </c>
      <c r="I158" s="101">
        <v>0</v>
      </c>
      <c r="J158" s="101">
        <v>9579152</v>
      </c>
      <c r="K158" s="101">
        <v>9579152</v>
      </c>
      <c r="L158" s="97">
        <v>192</v>
      </c>
      <c r="M158" s="101">
        <v>0</v>
      </c>
      <c r="N158" s="101">
        <v>9579874</v>
      </c>
      <c r="O158" s="101">
        <v>9579874</v>
      </c>
      <c r="P158" s="97">
        <v>195</v>
      </c>
      <c r="Q158" s="101">
        <v>0</v>
      </c>
      <c r="R158" s="101">
        <v>9579874</v>
      </c>
      <c r="S158" s="101">
        <v>9579874</v>
      </c>
      <c r="T158" s="97">
        <v>195</v>
      </c>
    </row>
    <row r="159" spans="1:20">
      <c r="A159" s="85" t="s">
        <v>56</v>
      </c>
      <c r="B159" s="89"/>
      <c r="C159" s="76" t="s">
        <v>16</v>
      </c>
      <c r="D159" s="76">
        <v>9</v>
      </c>
      <c r="E159" s="100">
        <v>4983</v>
      </c>
      <c r="F159" s="100">
        <v>13527299</v>
      </c>
      <c r="G159" s="100">
        <v>13532282</v>
      </c>
      <c r="H159" s="96">
        <v>15</v>
      </c>
      <c r="I159" s="100">
        <v>0</v>
      </c>
      <c r="J159" s="100">
        <v>26573334</v>
      </c>
      <c r="K159" s="100">
        <v>26573334</v>
      </c>
      <c r="L159" s="96">
        <v>26</v>
      </c>
      <c r="M159" s="100">
        <v>0</v>
      </c>
      <c r="N159" s="100">
        <v>26675012</v>
      </c>
      <c r="O159" s="100">
        <v>26675012</v>
      </c>
      <c r="P159" s="96">
        <v>28</v>
      </c>
      <c r="Q159" s="100">
        <v>0</v>
      </c>
      <c r="R159" s="100">
        <v>26675012</v>
      </c>
      <c r="S159" s="100">
        <v>26675012</v>
      </c>
      <c r="T159" s="96">
        <v>28</v>
      </c>
    </row>
    <row r="160" spans="1:20">
      <c r="A160" s="86" t="s">
        <v>56</v>
      </c>
      <c r="B160" s="90"/>
      <c r="C160" s="77" t="s">
        <v>17</v>
      </c>
      <c r="D160" s="77">
        <v>1</v>
      </c>
      <c r="E160" s="101">
        <v>1748206</v>
      </c>
      <c r="F160" s="101">
        <v>2847587</v>
      </c>
      <c r="G160" s="101">
        <v>4595793</v>
      </c>
      <c r="H160" s="97">
        <v>51</v>
      </c>
      <c r="I160" s="101">
        <v>958191</v>
      </c>
      <c r="J160" s="101">
        <v>4948162</v>
      </c>
      <c r="K160" s="101">
        <v>5906353</v>
      </c>
      <c r="L160" s="97">
        <v>58</v>
      </c>
      <c r="M160" s="101">
        <v>0</v>
      </c>
      <c r="N160" s="101">
        <v>9995538</v>
      </c>
      <c r="O160" s="101">
        <v>9995538</v>
      </c>
      <c r="P160" s="97">
        <v>63</v>
      </c>
      <c r="Q160" s="101">
        <v>0</v>
      </c>
      <c r="R160" s="101">
        <v>10162738</v>
      </c>
      <c r="S160" s="101">
        <v>10162738</v>
      </c>
      <c r="T160" s="97">
        <v>64</v>
      </c>
    </row>
    <row r="161" spans="1:20">
      <c r="A161" s="85" t="s">
        <v>56</v>
      </c>
      <c r="B161" s="89"/>
      <c r="C161" s="76" t="s">
        <v>17</v>
      </c>
      <c r="D161" s="76">
        <v>2</v>
      </c>
      <c r="E161" s="100">
        <v>38006940</v>
      </c>
      <c r="F161" s="100">
        <v>27387700</v>
      </c>
      <c r="G161" s="100">
        <v>65394640</v>
      </c>
      <c r="H161" s="96">
        <v>346</v>
      </c>
      <c r="I161" s="100">
        <v>51391378</v>
      </c>
      <c r="J161" s="100">
        <v>90562454</v>
      </c>
      <c r="K161" s="100">
        <v>141953832</v>
      </c>
      <c r="L161" s="96">
        <v>408</v>
      </c>
      <c r="M161" s="100">
        <v>175965481</v>
      </c>
      <c r="N161" s="100">
        <v>198210148</v>
      </c>
      <c r="O161" s="100">
        <v>374175629</v>
      </c>
      <c r="P161" s="96">
        <v>436</v>
      </c>
      <c r="Q161" s="100">
        <v>50798932</v>
      </c>
      <c r="R161" s="100">
        <v>345818961</v>
      </c>
      <c r="S161" s="100">
        <v>396617893</v>
      </c>
      <c r="T161" s="96">
        <v>437</v>
      </c>
    </row>
    <row r="162" spans="1:20">
      <c r="A162" s="86" t="s">
        <v>56</v>
      </c>
      <c r="B162" s="90"/>
      <c r="C162" s="77" t="s">
        <v>17</v>
      </c>
      <c r="D162" s="77">
        <v>3</v>
      </c>
      <c r="E162" s="101">
        <v>100535174</v>
      </c>
      <c r="F162" s="101">
        <v>77298128</v>
      </c>
      <c r="G162" s="101">
        <v>177833302</v>
      </c>
      <c r="H162" s="97">
        <v>3370</v>
      </c>
      <c r="I162" s="101">
        <v>199621000</v>
      </c>
      <c r="J162" s="101">
        <v>155909546</v>
      </c>
      <c r="K162" s="101">
        <v>355530546</v>
      </c>
      <c r="L162" s="97">
        <v>3561</v>
      </c>
      <c r="M162" s="101">
        <v>163742051</v>
      </c>
      <c r="N162" s="101">
        <v>251469201</v>
      </c>
      <c r="O162" s="101">
        <v>415211252</v>
      </c>
      <c r="P162" s="97">
        <v>3732</v>
      </c>
      <c r="Q162" s="101">
        <v>15002204</v>
      </c>
      <c r="R162" s="101">
        <v>309920046</v>
      </c>
      <c r="S162" s="101">
        <v>324922250</v>
      </c>
      <c r="T162" s="97">
        <v>3735</v>
      </c>
    </row>
    <row r="163" spans="1:20">
      <c r="A163" s="85" t="s">
        <v>56</v>
      </c>
      <c r="B163" s="89"/>
      <c r="C163" s="76" t="s">
        <v>17</v>
      </c>
      <c r="D163" s="76">
        <v>4</v>
      </c>
      <c r="E163" s="100">
        <v>4878080</v>
      </c>
      <c r="F163" s="100">
        <v>24094673</v>
      </c>
      <c r="G163" s="100">
        <v>28972753</v>
      </c>
      <c r="H163" s="96">
        <v>310</v>
      </c>
      <c r="I163" s="100">
        <v>0</v>
      </c>
      <c r="J163" s="100">
        <v>28930959</v>
      </c>
      <c r="K163" s="100">
        <v>28930959</v>
      </c>
      <c r="L163" s="96">
        <v>323</v>
      </c>
      <c r="M163" s="100">
        <v>0</v>
      </c>
      <c r="N163" s="100">
        <v>30673492</v>
      </c>
      <c r="O163" s="100">
        <v>30673492</v>
      </c>
      <c r="P163" s="96">
        <v>323</v>
      </c>
      <c r="Q163" s="100">
        <v>0</v>
      </c>
      <c r="R163" s="100">
        <v>30727076</v>
      </c>
      <c r="S163" s="100">
        <v>30727076</v>
      </c>
      <c r="T163" s="96">
        <v>323</v>
      </c>
    </row>
    <row r="164" spans="1:20">
      <c r="A164" s="86" t="s">
        <v>56</v>
      </c>
      <c r="B164" s="90"/>
      <c r="C164" s="77" t="s">
        <v>17</v>
      </c>
      <c r="D164" s="77">
        <v>5</v>
      </c>
      <c r="E164" s="101">
        <v>43297392</v>
      </c>
      <c r="F164" s="101">
        <v>75588587</v>
      </c>
      <c r="G164" s="101">
        <v>118885979</v>
      </c>
      <c r="H164" s="97">
        <v>39</v>
      </c>
      <c r="I164" s="101">
        <v>0</v>
      </c>
      <c r="J164" s="101">
        <v>95891130</v>
      </c>
      <c r="K164" s="101">
        <v>95891130</v>
      </c>
      <c r="L164" s="97">
        <v>40</v>
      </c>
      <c r="M164" s="101">
        <v>0</v>
      </c>
      <c r="N164" s="101">
        <v>96718459</v>
      </c>
      <c r="O164" s="101">
        <v>96718459</v>
      </c>
      <c r="P164" s="97">
        <v>40</v>
      </c>
      <c r="Q164" s="101">
        <v>0</v>
      </c>
      <c r="R164" s="101">
        <v>96718459</v>
      </c>
      <c r="S164" s="101">
        <v>96718459</v>
      </c>
      <c r="T164" s="97">
        <v>40</v>
      </c>
    </row>
    <row r="165" spans="1:20">
      <c r="A165" s="85" t="s">
        <v>56</v>
      </c>
      <c r="B165" s="89"/>
      <c r="C165" s="76" t="s">
        <v>17</v>
      </c>
      <c r="D165" s="76">
        <v>6</v>
      </c>
      <c r="E165" s="100">
        <v>239051</v>
      </c>
      <c r="F165" s="100">
        <v>2144973</v>
      </c>
      <c r="G165" s="100">
        <v>2384024</v>
      </c>
      <c r="H165" s="96">
        <v>47</v>
      </c>
      <c r="I165" s="100">
        <v>0</v>
      </c>
      <c r="J165" s="100">
        <v>2446992</v>
      </c>
      <c r="K165" s="100">
        <v>2446992</v>
      </c>
      <c r="L165" s="96">
        <v>52</v>
      </c>
      <c r="M165" s="100">
        <v>0</v>
      </c>
      <c r="N165" s="100">
        <v>2446992</v>
      </c>
      <c r="O165" s="100">
        <v>2446992</v>
      </c>
      <c r="P165" s="96">
        <v>52</v>
      </c>
      <c r="Q165" s="100">
        <v>0</v>
      </c>
      <c r="R165" s="100">
        <v>2446992</v>
      </c>
      <c r="S165" s="100">
        <v>2446992</v>
      </c>
      <c r="T165" s="96">
        <v>52</v>
      </c>
    </row>
    <row r="166" spans="1:20">
      <c r="A166" s="86" t="s">
        <v>56</v>
      </c>
      <c r="B166" s="90"/>
      <c r="C166" s="77" t="s">
        <v>17</v>
      </c>
      <c r="D166" s="77">
        <v>7</v>
      </c>
      <c r="E166" s="101">
        <v>3710300</v>
      </c>
      <c r="F166" s="101">
        <v>8532830</v>
      </c>
      <c r="G166" s="101">
        <v>12243130</v>
      </c>
      <c r="H166" s="97">
        <v>9</v>
      </c>
      <c r="I166" s="101">
        <v>1670</v>
      </c>
      <c r="J166" s="101">
        <v>11770067</v>
      </c>
      <c r="K166" s="101">
        <v>11771737</v>
      </c>
      <c r="L166" s="97">
        <v>10</v>
      </c>
      <c r="M166" s="101">
        <v>0</v>
      </c>
      <c r="N166" s="101">
        <v>11770067</v>
      </c>
      <c r="O166" s="101">
        <v>11770067</v>
      </c>
      <c r="P166" s="97">
        <v>10</v>
      </c>
      <c r="Q166" s="101">
        <v>0</v>
      </c>
      <c r="R166" s="101">
        <v>11770067</v>
      </c>
      <c r="S166" s="101">
        <v>11770067</v>
      </c>
      <c r="T166" s="97">
        <v>10</v>
      </c>
    </row>
    <row r="167" spans="1:20">
      <c r="A167" s="85" t="s">
        <v>56</v>
      </c>
      <c r="B167" s="89"/>
      <c r="C167" s="76" t="s">
        <v>17</v>
      </c>
      <c r="D167" s="76">
        <v>8</v>
      </c>
      <c r="E167" s="100">
        <v>61920340</v>
      </c>
      <c r="F167" s="100">
        <v>148264066</v>
      </c>
      <c r="G167" s="100">
        <v>210184406</v>
      </c>
      <c r="H167" s="96">
        <v>2377</v>
      </c>
      <c r="I167" s="100">
        <v>1180926</v>
      </c>
      <c r="J167" s="100">
        <v>225541266</v>
      </c>
      <c r="K167" s="100">
        <v>226722192</v>
      </c>
      <c r="L167" s="96">
        <v>2457</v>
      </c>
      <c r="M167" s="100">
        <v>0</v>
      </c>
      <c r="N167" s="100">
        <v>227915771</v>
      </c>
      <c r="O167" s="100">
        <v>227915771</v>
      </c>
      <c r="P167" s="96">
        <v>2457</v>
      </c>
      <c r="Q167" s="100">
        <v>0</v>
      </c>
      <c r="R167" s="100">
        <v>227915771</v>
      </c>
      <c r="S167" s="100">
        <v>227915771</v>
      </c>
      <c r="T167" s="96">
        <v>2457</v>
      </c>
    </row>
    <row r="168" spans="1:20">
      <c r="A168" s="86" t="s">
        <v>56</v>
      </c>
      <c r="B168" s="90"/>
      <c r="C168" s="77" t="s">
        <v>17</v>
      </c>
      <c r="D168" s="77">
        <v>9</v>
      </c>
      <c r="E168" s="101">
        <v>17405389</v>
      </c>
      <c r="F168" s="101">
        <v>21967713</v>
      </c>
      <c r="G168" s="101">
        <v>39373102</v>
      </c>
      <c r="H168" s="97">
        <v>21</v>
      </c>
      <c r="I168" s="101">
        <v>2076538</v>
      </c>
      <c r="J168" s="101">
        <v>46636025</v>
      </c>
      <c r="K168" s="101">
        <v>48712563</v>
      </c>
      <c r="L168" s="97">
        <v>25</v>
      </c>
      <c r="M168" s="101">
        <v>0</v>
      </c>
      <c r="N168" s="101">
        <v>46636025</v>
      </c>
      <c r="O168" s="101">
        <v>46636025</v>
      </c>
      <c r="P168" s="97">
        <v>25</v>
      </c>
      <c r="Q168" s="101">
        <v>0</v>
      </c>
      <c r="R168" s="101">
        <v>46636025</v>
      </c>
      <c r="S168" s="101">
        <v>46636025</v>
      </c>
      <c r="T168" s="97">
        <v>25</v>
      </c>
    </row>
    <row r="169" spans="1:20">
      <c r="A169" s="85" t="s">
        <v>56</v>
      </c>
      <c r="B169" s="89"/>
      <c r="C169" s="76" t="s">
        <v>18</v>
      </c>
      <c r="D169" s="76">
        <v>1</v>
      </c>
      <c r="E169" s="100">
        <v>3186817</v>
      </c>
      <c r="F169" s="100">
        <v>190936</v>
      </c>
      <c r="G169" s="100">
        <v>3377753</v>
      </c>
      <c r="H169" s="96">
        <v>18</v>
      </c>
      <c r="I169" s="100">
        <v>1452098</v>
      </c>
      <c r="J169" s="100">
        <v>13516420</v>
      </c>
      <c r="K169" s="100">
        <v>14968518</v>
      </c>
      <c r="L169" s="96">
        <v>23</v>
      </c>
      <c r="M169" s="100">
        <v>1964971</v>
      </c>
      <c r="N169" s="100">
        <v>13516541</v>
      </c>
      <c r="O169" s="100">
        <v>15481512</v>
      </c>
      <c r="P169" s="96">
        <v>34</v>
      </c>
      <c r="Q169" s="100">
        <v>2632500</v>
      </c>
      <c r="R169" s="100">
        <v>13516541</v>
      </c>
      <c r="S169" s="100">
        <v>16149041</v>
      </c>
      <c r="T169" s="96">
        <v>35</v>
      </c>
    </row>
    <row r="170" spans="1:20">
      <c r="A170" s="86" t="s">
        <v>56</v>
      </c>
      <c r="B170" s="90"/>
      <c r="C170" s="77" t="s">
        <v>18</v>
      </c>
      <c r="D170" s="77">
        <v>2</v>
      </c>
      <c r="E170" s="101">
        <v>4148720</v>
      </c>
      <c r="F170" s="101">
        <v>10274894</v>
      </c>
      <c r="G170" s="101">
        <v>14423614</v>
      </c>
      <c r="H170" s="97">
        <v>94</v>
      </c>
      <c r="I170" s="101">
        <v>104430229</v>
      </c>
      <c r="J170" s="101">
        <v>20814585</v>
      </c>
      <c r="K170" s="101">
        <v>125244814</v>
      </c>
      <c r="L170" s="97">
        <v>122</v>
      </c>
      <c r="M170" s="101">
        <v>109461173</v>
      </c>
      <c r="N170" s="101">
        <v>99704318</v>
      </c>
      <c r="O170" s="101">
        <v>209165491</v>
      </c>
      <c r="P170" s="97">
        <v>132</v>
      </c>
      <c r="Q170" s="101">
        <v>12335811</v>
      </c>
      <c r="R170" s="101">
        <v>120398713</v>
      </c>
      <c r="S170" s="101">
        <v>132734524</v>
      </c>
      <c r="T170" s="97">
        <v>132</v>
      </c>
    </row>
    <row r="171" spans="1:20">
      <c r="A171" s="85" t="s">
        <v>56</v>
      </c>
      <c r="B171" s="89"/>
      <c r="C171" s="76" t="s">
        <v>18</v>
      </c>
      <c r="D171" s="76">
        <v>3</v>
      </c>
      <c r="E171" s="100">
        <v>35533846</v>
      </c>
      <c r="F171" s="100">
        <v>39058423</v>
      </c>
      <c r="G171" s="100">
        <v>74592269</v>
      </c>
      <c r="H171" s="96">
        <v>1310</v>
      </c>
      <c r="I171" s="100">
        <v>26176398</v>
      </c>
      <c r="J171" s="100">
        <v>76439777</v>
      </c>
      <c r="K171" s="100">
        <v>102616175</v>
      </c>
      <c r="L171" s="96">
        <v>1480</v>
      </c>
      <c r="M171" s="100">
        <v>7987373</v>
      </c>
      <c r="N171" s="100">
        <v>89394865</v>
      </c>
      <c r="O171" s="100">
        <v>97382238</v>
      </c>
      <c r="P171" s="96">
        <v>1731</v>
      </c>
      <c r="Q171" s="100">
        <v>4490089</v>
      </c>
      <c r="R171" s="100">
        <v>186244237</v>
      </c>
      <c r="S171" s="100">
        <v>190734326</v>
      </c>
      <c r="T171" s="96">
        <v>1732</v>
      </c>
    </row>
    <row r="172" spans="1:20">
      <c r="A172" s="86" t="s">
        <v>56</v>
      </c>
      <c r="B172" s="90"/>
      <c r="C172" s="77" t="s">
        <v>18</v>
      </c>
      <c r="D172" s="77">
        <v>4</v>
      </c>
      <c r="E172" s="101">
        <v>694487</v>
      </c>
      <c r="F172" s="101">
        <v>2395545</v>
      </c>
      <c r="G172" s="101">
        <v>3090032</v>
      </c>
      <c r="H172" s="97">
        <v>24</v>
      </c>
      <c r="I172" s="101">
        <v>0</v>
      </c>
      <c r="J172" s="101">
        <v>3266720</v>
      </c>
      <c r="K172" s="101">
        <v>3266720</v>
      </c>
      <c r="L172" s="97">
        <v>26</v>
      </c>
      <c r="M172" s="101">
        <v>0</v>
      </c>
      <c r="N172" s="101">
        <v>3266720</v>
      </c>
      <c r="O172" s="101">
        <v>3266720</v>
      </c>
      <c r="P172" s="97">
        <v>26</v>
      </c>
      <c r="Q172" s="101">
        <v>0</v>
      </c>
      <c r="R172" s="101">
        <v>3266720</v>
      </c>
      <c r="S172" s="101">
        <v>3266720</v>
      </c>
      <c r="T172" s="97">
        <v>26</v>
      </c>
    </row>
    <row r="173" spans="1:20">
      <c r="A173" s="85" t="s">
        <v>56</v>
      </c>
      <c r="B173" s="89"/>
      <c r="C173" s="76" t="s">
        <v>18</v>
      </c>
      <c r="D173" s="76">
        <v>5</v>
      </c>
      <c r="E173" s="100">
        <v>5550000</v>
      </c>
      <c r="F173" s="100">
        <v>6946338</v>
      </c>
      <c r="G173" s="100">
        <v>12496338</v>
      </c>
      <c r="H173" s="96">
        <v>6</v>
      </c>
      <c r="I173" s="100">
        <v>0</v>
      </c>
      <c r="J173" s="100">
        <v>12853838</v>
      </c>
      <c r="K173" s="100">
        <v>12853838</v>
      </c>
      <c r="L173" s="96">
        <v>7</v>
      </c>
      <c r="M173" s="100">
        <v>0</v>
      </c>
      <c r="N173" s="100">
        <v>12853838</v>
      </c>
      <c r="O173" s="100">
        <v>12853838</v>
      </c>
      <c r="P173" s="96">
        <v>7</v>
      </c>
      <c r="Q173" s="100">
        <v>0</v>
      </c>
      <c r="R173" s="100">
        <v>12853838</v>
      </c>
      <c r="S173" s="100">
        <v>12853838</v>
      </c>
      <c r="T173" s="96">
        <v>7</v>
      </c>
    </row>
    <row r="174" spans="1:20">
      <c r="A174" s="86" t="s">
        <v>56</v>
      </c>
      <c r="B174" s="90"/>
      <c r="C174" s="77" t="s">
        <v>18</v>
      </c>
      <c r="D174" s="77">
        <v>6</v>
      </c>
      <c r="E174" s="101">
        <v>624000</v>
      </c>
      <c r="F174" s="101">
        <v>0</v>
      </c>
      <c r="G174" s="101">
        <v>624000</v>
      </c>
      <c r="H174" s="97">
        <v>2</v>
      </c>
      <c r="I174" s="101">
        <v>0</v>
      </c>
      <c r="J174" s="101">
        <v>586300</v>
      </c>
      <c r="K174" s="101">
        <v>586300</v>
      </c>
      <c r="L174" s="97">
        <v>2</v>
      </c>
      <c r="M174" s="101">
        <v>0</v>
      </c>
      <c r="N174" s="101">
        <v>586300</v>
      </c>
      <c r="O174" s="101">
        <v>586300</v>
      </c>
      <c r="P174" s="97">
        <v>2</v>
      </c>
      <c r="Q174" s="101">
        <v>0</v>
      </c>
      <c r="R174" s="101">
        <v>586300</v>
      </c>
      <c r="S174" s="101">
        <v>586300</v>
      </c>
      <c r="T174" s="97">
        <v>2</v>
      </c>
    </row>
    <row r="175" spans="1:20">
      <c r="A175" s="85" t="s">
        <v>56</v>
      </c>
      <c r="B175" s="89"/>
      <c r="C175" s="76" t="s">
        <v>18</v>
      </c>
      <c r="D175" s="76">
        <v>7</v>
      </c>
      <c r="E175" s="100">
        <v>2158451</v>
      </c>
      <c r="F175" s="100">
        <v>4550000</v>
      </c>
      <c r="G175" s="100">
        <v>6708451</v>
      </c>
      <c r="H175" s="96">
        <v>5</v>
      </c>
      <c r="I175" s="100">
        <v>0</v>
      </c>
      <c r="J175" s="100">
        <v>8549300</v>
      </c>
      <c r="K175" s="100">
        <v>8549300</v>
      </c>
      <c r="L175" s="96">
        <v>7</v>
      </c>
      <c r="M175" s="100">
        <v>0</v>
      </c>
      <c r="N175" s="100">
        <v>8549300</v>
      </c>
      <c r="O175" s="100">
        <v>8549300</v>
      </c>
      <c r="P175" s="96">
        <v>7</v>
      </c>
      <c r="Q175" s="100">
        <v>0</v>
      </c>
      <c r="R175" s="100">
        <v>8549300</v>
      </c>
      <c r="S175" s="100">
        <v>8549300</v>
      </c>
      <c r="T175" s="96">
        <v>7</v>
      </c>
    </row>
    <row r="176" spans="1:20">
      <c r="A176" s="86" t="s">
        <v>56</v>
      </c>
      <c r="B176" s="90"/>
      <c r="C176" s="77" t="s">
        <v>18</v>
      </c>
      <c r="D176" s="77">
        <v>8</v>
      </c>
      <c r="E176" s="101">
        <v>219832</v>
      </c>
      <c r="F176" s="101">
        <v>68760</v>
      </c>
      <c r="G176" s="101">
        <v>288592</v>
      </c>
      <c r="H176" s="97">
        <v>9</v>
      </c>
      <c r="I176" s="101">
        <v>0</v>
      </c>
      <c r="J176" s="101">
        <v>230216</v>
      </c>
      <c r="K176" s="101">
        <v>230216</v>
      </c>
      <c r="L176" s="97">
        <v>12</v>
      </c>
      <c r="M176" s="101">
        <v>0</v>
      </c>
      <c r="N176" s="101">
        <v>230216</v>
      </c>
      <c r="O176" s="101">
        <v>230216</v>
      </c>
      <c r="P176" s="97">
        <v>12</v>
      </c>
      <c r="Q176" s="101">
        <v>0</v>
      </c>
      <c r="R176" s="101">
        <v>230216</v>
      </c>
      <c r="S176" s="101">
        <v>230216</v>
      </c>
      <c r="T176" s="97">
        <v>12</v>
      </c>
    </row>
    <row r="177" spans="1:20" ht="13.5" thickBot="1">
      <c r="A177" s="87" t="s">
        <v>56</v>
      </c>
      <c r="B177" s="91"/>
      <c r="C177" s="78" t="s">
        <v>18</v>
      </c>
      <c r="D177" s="78">
        <v>9</v>
      </c>
      <c r="E177" s="102">
        <v>0</v>
      </c>
      <c r="F177" s="102">
        <v>0</v>
      </c>
      <c r="G177" s="102">
        <v>0</v>
      </c>
      <c r="H177" s="98">
        <v>2</v>
      </c>
      <c r="I177" s="102">
        <v>0</v>
      </c>
      <c r="J177" s="102">
        <v>0</v>
      </c>
      <c r="K177" s="102">
        <v>0</v>
      </c>
      <c r="L177" s="98">
        <v>2</v>
      </c>
      <c r="M177" s="102">
        <v>0</v>
      </c>
      <c r="N177" s="102">
        <v>0</v>
      </c>
      <c r="O177" s="102">
        <v>0</v>
      </c>
      <c r="P177" s="98">
        <v>2</v>
      </c>
      <c r="Q177" s="102">
        <v>0</v>
      </c>
      <c r="R177" s="102">
        <v>0</v>
      </c>
      <c r="S177" s="102">
        <v>0</v>
      </c>
      <c r="T177" s="98">
        <v>2</v>
      </c>
    </row>
  </sheetData>
  <mergeCells count="25">
    <mergeCell ref="C19:D19"/>
    <mergeCell ref="E1:H1"/>
    <mergeCell ref="E2:H2"/>
    <mergeCell ref="E3:H3"/>
    <mergeCell ref="E4:H4"/>
    <mergeCell ref="A4:D4"/>
    <mergeCell ref="A5:A6"/>
    <mergeCell ref="C5:D5"/>
    <mergeCell ref="A1:D1"/>
    <mergeCell ref="C18:D18"/>
    <mergeCell ref="B5:B6"/>
    <mergeCell ref="I1:L1"/>
    <mergeCell ref="I2:L2"/>
    <mergeCell ref="I3:L3"/>
    <mergeCell ref="I4:L4"/>
    <mergeCell ref="A3:D3"/>
    <mergeCell ref="A2:D2"/>
    <mergeCell ref="Q1:T1"/>
    <mergeCell ref="Q2:T2"/>
    <mergeCell ref="Q3:T3"/>
    <mergeCell ref="Q4:T4"/>
    <mergeCell ref="M4:P4"/>
    <mergeCell ref="M1:P1"/>
    <mergeCell ref="M2:P2"/>
    <mergeCell ref="M3:P3"/>
  </mergeCells>
  <pageMargins left="0.74803149606299213" right="0.74803149606299213" top="1.3779527559055118" bottom="0.98425196850393704" header="0" footer="0"/>
  <pageSetup paperSize="9" orientation="portrait" verticalDpi="300" r:id="rId1"/>
  <headerFooter>
    <oddHeader>&amp;L&amp;G&amp;R&amp;G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A177"/>
  <sheetViews>
    <sheetView zoomScale="80" zoomScaleNormal="80" zoomScaleSheetLayoutView="70" workbookViewId="0">
      <selection sqref="A1:D1"/>
    </sheetView>
  </sheetViews>
  <sheetFormatPr baseColWidth="10" defaultRowHeight="12.75"/>
  <cols>
    <col min="1" max="1" width="12.42578125" style="2" customWidth="1"/>
    <col min="2" max="2" width="23.42578125" style="2" bestFit="1" customWidth="1"/>
    <col min="3" max="4" width="3.85546875" style="3" customWidth="1"/>
    <col min="5" max="7" width="24.7109375" style="103" customWidth="1"/>
    <col min="8" max="8" width="24.7109375" style="104" customWidth="1"/>
    <col min="9" max="11" width="24.7109375" style="103" customWidth="1"/>
    <col min="12" max="12" width="24.7109375" style="104" customWidth="1"/>
    <col min="13" max="15" width="24.7109375" style="103" customWidth="1"/>
    <col min="16" max="16" width="24.7109375" style="104" customWidth="1"/>
    <col min="17" max="19" width="24.7109375" style="103" customWidth="1"/>
    <col min="20" max="20" width="24.7109375" style="104" customWidth="1"/>
    <col min="21" max="23" width="24.7109375" style="103" customWidth="1"/>
    <col min="24" max="24" width="24.7109375" style="104" customWidth="1"/>
    <col min="25" max="16384" width="11.42578125" style="2"/>
  </cols>
  <sheetData>
    <row r="1" spans="1:24" s="6" customFormat="1" ht="18.75">
      <c r="A1" s="159" t="s">
        <v>37</v>
      </c>
      <c r="B1" s="160"/>
      <c r="C1" s="160"/>
      <c r="D1" s="160"/>
      <c r="E1" s="161" t="s">
        <v>55</v>
      </c>
      <c r="F1" s="161"/>
      <c r="G1" s="161"/>
      <c r="H1" s="168"/>
      <c r="I1" s="161" t="s">
        <v>55</v>
      </c>
      <c r="J1" s="161"/>
      <c r="K1" s="161"/>
      <c r="L1" s="161"/>
      <c r="M1" s="161" t="s">
        <v>55</v>
      </c>
      <c r="N1" s="161"/>
      <c r="O1" s="161"/>
      <c r="P1" s="161"/>
      <c r="Q1" s="161" t="s">
        <v>55</v>
      </c>
      <c r="R1" s="161"/>
      <c r="S1" s="161"/>
      <c r="T1" s="162"/>
      <c r="U1" s="161" t="s">
        <v>55</v>
      </c>
      <c r="V1" s="161"/>
      <c r="W1" s="161"/>
      <c r="X1" s="162"/>
    </row>
    <row r="2" spans="1:24" s="7" customFormat="1" ht="21" customHeight="1">
      <c r="A2" s="155" t="s">
        <v>83</v>
      </c>
      <c r="B2" s="163"/>
      <c r="C2" s="163"/>
      <c r="D2" s="163"/>
      <c r="E2" s="153" t="s">
        <v>125</v>
      </c>
      <c r="F2" s="153"/>
      <c r="G2" s="153"/>
      <c r="H2" s="169"/>
      <c r="I2" s="153" t="s">
        <v>125</v>
      </c>
      <c r="J2" s="153"/>
      <c r="K2" s="153"/>
      <c r="L2" s="153"/>
      <c r="M2" s="153" t="s">
        <v>125</v>
      </c>
      <c r="N2" s="153"/>
      <c r="O2" s="153"/>
      <c r="P2" s="153"/>
      <c r="Q2" s="153" t="s">
        <v>125</v>
      </c>
      <c r="R2" s="153"/>
      <c r="S2" s="153"/>
      <c r="T2" s="154"/>
      <c r="U2" s="153" t="s">
        <v>125</v>
      </c>
      <c r="V2" s="153"/>
      <c r="W2" s="153"/>
      <c r="X2" s="154"/>
    </row>
    <row r="3" spans="1:24" s="1" customFormat="1" ht="21" customHeight="1">
      <c r="A3" s="155" t="s">
        <v>99</v>
      </c>
      <c r="B3" s="163"/>
      <c r="C3" s="163"/>
      <c r="D3" s="163"/>
      <c r="E3" s="153" t="s">
        <v>100</v>
      </c>
      <c r="F3" s="153"/>
      <c r="G3" s="153"/>
      <c r="H3" s="169"/>
      <c r="I3" s="153" t="s">
        <v>101</v>
      </c>
      <c r="J3" s="153"/>
      <c r="K3" s="153"/>
      <c r="L3" s="153"/>
      <c r="M3" s="153" t="s">
        <v>102</v>
      </c>
      <c r="N3" s="153"/>
      <c r="O3" s="153"/>
      <c r="P3" s="153"/>
      <c r="Q3" s="153" t="s">
        <v>103</v>
      </c>
      <c r="R3" s="153"/>
      <c r="S3" s="153"/>
      <c r="T3" s="154"/>
      <c r="U3" s="153" t="s">
        <v>104</v>
      </c>
      <c r="V3" s="153"/>
      <c r="W3" s="153"/>
      <c r="X3" s="154"/>
    </row>
    <row r="4" spans="1:24" s="8" customFormat="1" ht="21" customHeight="1">
      <c r="A4" s="150" t="s">
        <v>98</v>
      </c>
      <c r="B4" s="151"/>
      <c r="C4" s="151"/>
      <c r="D4" s="152"/>
      <c r="E4" s="153" t="s">
        <v>126</v>
      </c>
      <c r="F4" s="153"/>
      <c r="G4" s="153"/>
      <c r="H4" s="169"/>
      <c r="I4" s="153" t="s">
        <v>131</v>
      </c>
      <c r="J4" s="153"/>
      <c r="K4" s="153"/>
      <c r="L4" s="153"/>
      <c r="M4" s="153" t="s">
        <v>145</v>
      </c>
      <c r="N4" s="153"/>
      <c r="O4" s="153"/>
      <c r="P4" s="153"/>
      <c r="Q4" s="153" t="s">
        <v>142</v>
      </c>
      <c r="R4" s="153"/>
      <c r="S4" s="153"/>
      <c r="T4" s="154"/>
      <c r="U4" s="153" t="s">
        <v>151</v>
      </c>
      <c r="V4" s="153"/>
      <c r="W4" s="153"/>
      <c r="X4" s="154"/>
    </row>
    <row r="5" spans="1:24" s="5" customFormat="1">
      <c r="A5" s="155" t="s">
        <v>135</v>
      </c>
      <c r="B5" s="157" t="s">
        <v>136</v>
      </c>
      <c r="C5" s="157" t="s">
        <v>33</v>
      </c>
      <c r="D5" s="157"/>
      <c r="E5" s="130" t="s">
        <v>2</v>
      </c>
      <c r="F5" s="130" t="s">
        <v>2</v>
      </c>
      <c r="G5" s="130" t="s">
        <v>35</v>
      </c>
      <c r="H5" s="134" t="s">
        <v>138</v>
      </c>
      <c r="I5" s="130" t="s">
        <v>2</v>
      </c>
      <c r="J5" s="130" t="s">
        <v>2</v>
      </c>
      <c r="K5" s="130" t="s">
        <v>35</v>
      </c>
      <c r="L5" s="138" t="s">
        <v>138</v>
      </c>
      <c r="M5" s="130" t="s">
        <v>2</v>
      </c>
      <c r="N5" s="130" t="s">
        <v>2</v>
      </c>
      <c r="O5" s="130" t="s">
        <v>35</v>
      </c>
      <c r="P5" s="138" t="s">
        <v>138</v>
      </c>
      <c r="Q5" s="130" t="s">
        <v>2</v>
      </c>
      <c r="R5" s="130" t="s">
        <v>2</v>
      </c>
      <c r="S5" s="130" t="s">
        <v>35</v>
      </c>
      <c r="T5" s="131" t="s">
        <v>138</v>
      </c>
      <c r="U5" s="130"/>
      <c r="V5" s="130"/>
      <c r="W5" s="130"/>
      <c r="X5" s="131"/>
    </row>
    <row r="6" spans="1:24" s="5" customFormat="1" ht="13.5" thickBot="1">
      <c r="A6" s="156" t="s">
        <v>32</v>
      </c>
      <c r="B6" s="158" t="s">
        <v>31</v>
      </c>
      <c r="C6" s="93" t="s">
        <v>0</v>
      </c>
      <c r="D6" s="74" t="s">
        <v>1</v>
      </c>
      <c r="E6" s="132" t="s">
        <v>34</v>
      </c>
      <c r="F6" s="132" t="s">
        <v>3</v>
      </c>
      <c r="G6" s="132" t="s">
        <v>36</v>
      </c>
      <c r="H6" s="135" t="s">
        <v>139</v>
      </c>
      <c r="I6" s="132" t="s">
        <v>34</v>
      </c>
      <c r="J6" s="132" t="s">
        <v>3</v>
      </c>
      <c r="K6" s="132" t="s">
        <v>36</v>
      </c>
      <c r="L6" s="137" t="s">
        <v>139</v>
      </c>
      <c r="M6" s="132" t="s">
        <v>34</v>
      </c>
      <c r="N6" s="132" t="s">
        <v>3</v>
      </c>
      <c r="O6" s="132" t="s">
        <v>36</v>
      </c>
      <c r="P6" s="137" t="s">
        <v>139</v>
      </c>
      <c r="Q6" s="132" t="s">
        <v>34</v>
      </c>
      <c r="R6" s="132" t="s">
        <v>3</v>
      </c>
      <c r="S6" s="132" t="s">
        <v>36</v>
      </c>
      <c r="T6" s="133" t="s">
        <v>139</v>
      </c>
      <c r="U6" s="132"/>
      <c r="V6" s="132"/>
      <c r="W6" s="132"/>
      <c r="X6" s="133"/>
    </row>
    <row r="7" spans="1:24" s="9" customFormat="1" ht="15" customHeight="1">
      <c r="A7" s="83" t="s">
        <v>4</v>
      </c>
      <c r="B7" s="88" t="s">
        <v>5</v>
      </c>
      <c r="C7" s="75"/>
      <c r="D7" s="75"/>
      <c r="E7" s="99">
        <f>SUM(E8:E16)</f>
        <v>43306531642</v>
      </c>
      <c r="F7" s="99">
        <f t="shared" ref="F7:G7" si="0">SUM(F8:F16)</f>
        <v>91100061361</v>
      </c>
      <c r="G7" s="99">
        <f t="shared" si="0"/>
        <v>134406593003</v>
      </c>
      <c r="H7" s="95">
        <f>SUM(H8:H16)</f>
        <v>2392222</v>
      </c>
      <c r="I7" s="99">
        <f t="shared" ref="I7" si="1">SUM(I8:I16)</f>
        <v>19403549895</v>
      </c>
      <c r="J7" s="99">
        <f t="shared" ref="J7" si="2">SUM(J8:J16)</f>
        <v>145341205405</v>
      </c>
      <c r="K7" s="99">
        <f t="shared" ref="K7:M7" si="3">SUM(K8:K16)</f>
        <v>164744755300</v>
      </c>
      <c r="L7" s="95">
        <f t="shared" si="3"/>
        <v>2526458</v>
      </c>
      <c r="M7" s="99">
        <f t="shared" si="3"/>
        <v>24701651636</v>
      </c>
      <c r="N7" s="99">
        <f t="shared" ref="N7" si="4">SUM(N8:N16)</f>
        <v>157231761018</v>
      </c>
      <c r="O7" s="99">
        <f t="shared" ref="O7:Q7" si="5">SUM(O8:O16)</f>
        <v>181933412654</v>
      </c>
      <c r="P7" s="95">
        <f t="shared" si="5"/>
        <v>2620208</v>
      </c>
      <c r="Q7" s="99">
        <f t="shared" si="5"/>
        <v>44063038756</v>
      </c>
      <c r="R7" s="99">
        <f t="shared" ref="R7" si="6">SUM(R8:R16)</f>
        <v>180563423811</v>
      </c>
      <c r="S7" s="99">
        <f t="shared" ref="S7:U7" si="7">SUM(S8:S16)</f>
        <v>224626462567</v>
      </c>
      <c r="T7" s="95">
        <f t="shared" si="7"/>
        <v>2623379</v>
      </c>
      <c r="U7" s="99">
        <f t="shared" si="7"/>
        <v>61600578408</v>
      </c>
      <c r="V7" s="99">
        <f t="shared" ref="V7" si="8">SUM(V8:V16)</f>
        <v>231662956841</v>
      </c>
      <c r="W7" s="99">
        <f t="shared" ref="W7:X7" si="9">SUM(W8:W16)</f>
        <v>293259918660</v>
      </c>
      <c r="X7" s="95">
        <f t="shared" si="9"/>
        <v>2624980</v>
      </c>
    </row>
    <row r="8" spans="1:24" ht="15" customHeight="1">
      <c r="A8" s="85" t="s">
        <v>4</v>
      </c>
      <c r="B8" s="89" t="s">
        <v>39</v>
      </c>
      <c r="C8" s="76">
        <v>1</v>
      </c>
      <c r="D8" s="76"/>
      <c r="E8" s="100">
        <v>495683411</v>
      </c>
      <c r="F8" s="100">
        <v>277527910</v>
      </c>
      <c r="G8" s="100">
        <v>773211321</v>
      </c>
      <c r="H8" s="96">
        <v>15498</v>
      </c>
      <c r="I8" s="100">
        <v>747777662</v>
      </c>
      <c r="J8" s="100">
        <v>734246720</v>
      </c>
      <c r="K8" s="100">
        <v>1482024382</v>
      </c>
      <c r="L8" s="96">
        <v>17171</v>
      </c>
      <c r="M8" s="100">
        <v>1237970470</v>
      </c>
      <c r="N8" s="100">
        <v>1023710300</v>
      </c>
      <c r="O8" s="100">
        <v>2261680770</v>
      </c>
      <c r="P8" s="96">
        <v>18616</v>
      </c>
      <c r="Q8" s="100">
        <v>2064434944</v>
      </c>
      <c r="R8" s="100">
        <v>1495101317</v>
      </c>
      <c r="S8" s="100">
        <v>3559536261</v>
      </c>
      <c r="T8" s="96">
        <v>18688</v>
      </c>
      <c r="U8" s="100">
        <v>2933888684</v>
      </c>
      <c r="V8" s="100">
        <v>2790638014</v>
      </c>
      <c r="W8" s="100">
        <v>5724526698</v>
      </c>
      <c r="X8" s="96">
        <v>18715</v>
      </c>
    </row>
    <row r="9" spans="1:24" ht="15" customHeight="1">
      <c r="A9" s="86" t="s">
        <v>4</v>
      </c>
      <c r="B9" s="90" t="s">
        <v>38</v>
      </c>
      <c r="C9" s="77">
        <v>2</v>
      </c>
      <c r="D9" s="77"/>
      <c r="E9" s="101">
        <v>7839460052</v>
      </c>
      <c r="F9" s="101">
        <v>5211656385</v>
      </c>
      <c r="G9" s="101">
        <v>13051116437</v>
      </c>
      <c r="H9" s="97">
        <v>125462</v>
      </c>
      <c r="I9" s="101">
        <v>11200764940</v>
      </c>
      <c r="J9" s="101">
        <v>14556517630</v>
      </c>
      <c r="K9" s="101">
        <v>25757282570</v>
      </c>
      <c r="L9" s="97">
        <v>141883</v>
      </c>
      <c r="M9" s="101">
        <v>16040467454</v>
      </c>
      <c r="N9" s="101">
        <v>22228175495</v>
      </c>
      <c r="O9" s="101">
        <v>38268642949</v>
      </c>
      <c r="P9" s="97">
        <v>146721</v>
      </c>
      <c r="Q9" s="101">
        <v>33690720193</v>
      </c>
      <c r="R9" s="101">
        <v>40389357733</v>
      </c>
      <c r="S9" s="101">
        <v>74080077926</v>
      </c>
      <c r="T9" s="97">
        <v>147513</v>
      </c>
      <c r="U9" s="101">
        <v>49131882125</v>
      </c>
      <c r="V9" s="101">
        <v>81125645194</v>
      </c>
      <c r="W9" s="101">
        <v>130253910730</v>
      </c>
      <c r="X9" s="97">
        <v>147955</v>
      </c>
    </row>
    <row r="10" spans="1:24" ht="15" customHeight="1">
      <c r="A10" s="85" t="s">
        <v>4</v>
      </c>
      <c r="B10" s="89" t="s">
        <v>40</v>
      </c>
      <c r="C10" s="76">
        <v>3</v>
      </c>
      <c r="D10" s="76"/>
      <c r="E10" s="100">
        <v>10651929271</v>
      </c>
      <c r="F10" s="100">
        <v>19022271782</v>
      </c>
      <c r="G10" s="100">
        <v>29674201053</v>
      </c>
      <c r="H10" s="96">
        <v>1065280</v>
      </c>
      <c r="I10" s="100">
        <v>5479336439</v>
      </c>
      <c r="J10" s="100">
        <v>32595763484</v>
      </c>
      <c r="K10" s="100">
        <v>38075099923</v>
      </c>
      <c r="L10" s="96">
        <v>1106545</v>
      </c>
      <c r="M10" s="100">
        <v>6832991720</v>
      </c>
      <c r="N10" s="100">
        <v>34983484251</v>
      </c>
      <c r="O10" s="100">
        <v>41816475971</v>
      </c>
      <c r="P10" s="96">
        <v>1192587</v>
      </c>
      <c r="Q10" s="100">
        <v>7560208666</v>
      </c>
      <c r="R10" s="100">
        <v>38630600795</v>
      </c>
      <c r="S10" s="100">
        <v>46190809461</v>
      </c>
      <c r="T10" s="96">
        <v>1193928</v>
      </c>
      <c r="U10" s="100">
        <v>8785729855</v>
      </c>
      <c r="V10" s="100">
        <v>45072026827</v>
      </c>
      <c r="W10" s="100">
        <v>53857756682</v>
      </c>
      <c r="X10" s="96">
        <v>1194328</v>
      </c>
    </row>
    <row r="11" spans="1:24" ht="15" customHeight="1">
      <c r="A11" s="86" t="s">
        <v>4</v>
      </c>
      <c r="B11" s="90" t="s">
        <v>6</v>
      </c>
      <c r="C11" s="77">
        <v>4</v>
      </c>
      <c r="D11" s="77"/>
      <c r="E11" s="101">
        <v>1190961903</v>
      </c>
      <c r="F11" s="101">
        <v>9328399159</v>
      </c>
      <c r="G11" s="101">
        <v>10519361062</v>
      </c>
      <c r="H11" s="97">
        <v>220188</v>
      </c>
      <c r="I11" s="101">
        <v>52421074</v>
      </c>
      <c r="J11" s="101">
        <v>11740119758</v>
      </c>
      <c r="K11" s="101">
        <v>11792540832</v>
      </c>
      <c r="L11" s="97">
        <v>230487</v>
      </c>
      <c r="M11" s="101">
        <v>6401885</v>
      </c>
      <c r="N11" s="101">
        <v>11795657416</v>
      </c>
      <c r="O11" s="101">
        <v>11802059301</v>
      </c>
      <c r="P11" s="97">
        <v>230578</v>
      </c>
      <c r="Q11" s="101">
        <v>10062661</v>
      </c>
      <c r="R11" s="101">
        <v>11820429326</v>
      </c>
      <c r="S11" s="101">
        <v>11830491987</v>
      </c>
      <c r="T11" s="97">
        <v>230606</v>
      </c>
      <c r="U11" s="101">
        <v>8786933</v>
      </c>
      <c r="V11" s="101">
        <v>11864015068</v>
      </c>
      <c r="W11" s="101">
        <v>11872802001</v>
      </c>
      <c r="X11" s="97">
        <v>230616</v>
      </c>
    </row>
    <row r="12" spans="1:24" ht="15" customHeight="1">
      <c r="A12" s="85" t="s">
        <v>4</v>
      </c>
      <c r="B12" s="89" t="s">
        <v>7</v>
      </c>
      <c r="C12" s="76">
        <v>5</v>
      </c>
      <c r="D12" s="76"/>
      <c r="E12" s="100">
        <v>4407500640</v>
      </c>
      <c r="F12" s="100">
        <v>10430054570</v>
      </c>
      <c r="G12" s="100">
        <v>14837555210</v>
      </c>
      <c r="H12" s="96">
        <v>31070</v>
      </c>
      <c r="I12" s="100">
        <v>253584152</v>
      </c>
      <c r="J12" s="100">
        <v>15997221171</v>
      </c>
      <c r="K12" s="100">
        <v>16250805323</v>
      </c>
      <c r="L12" s="96">
        <v>33027</v>
      </c>
      <c r="M12" s="100">
        <v>123171890</v>
      </c>
      <c r="N12" s="100">
        <v>16275326913</v>
      </c>
      <c r="O12" s="100">
        <v>16398498803</v>
      </c>
      <c r="P12" s="96">
        <v>33271</v>
      </c>
      <c r="Q12" s="100">
        <v>175226081</v>
      </c>
      <c r="R12" s="100">
        <v>16518344990</v>
      </c>
      <c r="S12" s="100">
        <v>16693571071</v>
      </c>
      <c r="T12" s="96">
        <v>33944</v>
      </c>
      <c r="U12" s="100">
        <v>223076226</v>
      </c>
      <c r="V12" s="100">
        <v>18127536308</v>
      </c>
      <c r="W12" s="100">
        <v>18350612534</v>
      </c>
      <c r="X12" s="96">
        <v>34535</v>
      </c>
    </row>
    <row r="13" spans="1:24" ht="15" customHeight="1">
      <c r="A13" s="86" t="s">
        <v>4</v>
      </c>
      <c r="B13" s="90" t="s">
        <v>8</v>
      </c>
      <c r="C13" s="77">
        <v>6</v>
      </c>
      <c r="D13" s="77"/>
      <c r="E13" s="101">
        <v>130008625</v>
      </c>
      <c r="F13" s="101">
        <v>395820935</v>
      </c>
      <c r="G13" s="101">
        <v>525829560</v>
      </c>
      <c r="H13" s="97">
        <v>4166</v>
      </c>
      <c r="I13" s="101">
        <v>25531325</v>
      </c>
      <c r="J13" s="101">
        <v>607083917</v>
      </c>
      <c r="K13" s="101">
        <v>632615242</v>
      </c>
      <c r="L13" s="97">
        <v>4395</v>
      </c>
      <c r="M13" s="101">
        <v>1968664</v>
      </c>
      <c r="N13" s="101">
        <v>624386598</v>
      </c>
      <c r="O13" s="101">
        <v>626355262</v>
      </c>
      <c r="P13" s="97">
        <v>4403</v>
      </c>
      <c r="Q13" s="101">
        <v>3539896</v>
      </c>
      <c r="R13" s="101">
        <v>627883017</v>
      </c>
      <c r="S13" s="101">
        <v>631422913</v>
      </c>
      <c r="T13" s="97">
        <v>4407</v>
      </c>
      <c r="U13" s="101">
        <v>0</v>
      </c>
      <c r="V13" s="101">
        <v>629895655</v>
      </c>
      <c r="W13" s="101">
        <v>629895655</v>
      </c>
      <c r="X13" s="97">
        <v>4407</v>
      </c>
    </row>
    <row r="14" spans="1:24" ht="15" customHeight="1">
      <c r="A14" s="85" t="s">
        <v>4</v>
      </c>
      <c r="B14" s="89" t="s">
        <v>9</v>
      </c>
      <c r="C14" s="76">
        <v>7</v>
      </c>
      <c r="D14" s="76"/>
      <c r="E14" s="100">
        <v>756152674</v>
      </c>
      <c r="F14" s="100">
        <v>1888202578</v>
      </c>
      <c r="G14" s="100">
        <v>2644355252</v>
      </c>
      <c r="H14" s="96">
        <v>2832</v>
      </c>
      <c r="I14" s="100">
        <v>91131461</v>
      </c>
      <c r="J14" s="100">
        <v>2864847120</v>
      </c>
      <c r="K14" s="100">
        <v>2955978581</v>
      </c>
      <c r="L14" s="96">
        <v>3152</v>
      </c>
      <c r="M14" s="100">
        <v>26595240</v>
      </c>
      <c r="N14" s="100">
        <v>2922284945</v>
      </c>
      <c r="O14" s="100">
        <v>2948880185</v>
      </c>
      <c r="P14" s="96">
        <v>3163</v>
      </c>
      <c r="Q14" s="100">
        <v>24696462</v>
      </c>
      <c r="R14" s="100">
        <v>2942108010</v>
      </c>
      <c r="S14" s="100">
        <v>2966804472</v>
      </c>
      <c r="T14" s="96">
        <v>3164</v>
      </c>
      <c r="U14" s="100">
        <v>18177029</v>
      </c>
      <c r="V14" s="100">
        <v>3007014971</v>
      </c>
      <c r="W14" s="100">
        <v>3025192000</v>
      </c>
      <c r="X14" s="96">
        <v>3166</v>
      </c>
    </row>
    <row r="15" spans="1:24" ht="15" customHeight="1">
      <c r="A15" s="86" t="s">
        <v>4</v>
      </c>
      <c r="B15" s="90" t="s">
        <v>10</v>
      </c>
      <c r="C15" s="77">
        <v>8</v>
      </c>
      <c r="D15" s="77"/>
      <c r="E15" s="101">
        <v>11349949204</v>
      </c>
      <c r="F15" s="101">
        <v>35491521855</v>
      </c>
      <c r="G15" s="101">
        <v>46841471059</v>
      </c>
      <c r="H15" s="97">
        <v>903674</v>
      </c>
      <c r="I15" s="101">
        <v>1009698674</v>
      </c>
      <c r="J15" s="101">
        <v>50782860002</v>
      </c>
      <c r="K15" s="101">
        <v>51792558676</v>
      </c>
      <c r="L15" s="97">
        <v>963033</v>
      </c>
      <c r="M15" s="101">
        <v>190373949</v>
      </c>
      <c r="N15" s="101">
        <v>51365050374</v>
      </c>
      <c r="O15" s="101">
        <v>51555424323</v>
      </c>
      <c r="P15" s="97">
        <v>964037</v>
      </c>
      <c r="Q15" s="101">
        <v>221476604</v>
      </c>
      <c r="R15" s="101">
        <v>51745878476</v>
      </c>
      <c r="S15" s="101">
        <v>51967355080</v>
      </c>
      <c r="T15" s="97">
        <v>964247</v>
      </c>
      <c r="U15" s="101">
        <v>198414511</v>
      </c>
      <c r="V15" s="101">
        <v>52150201790</v>
      </c>
      <c r="W15" s="101">
        <v>52348616301</v>
      </c>
      <c r="X15" s="97">
        <v>964352</v>
      </c>
    </row>
    <row r="16" spans="1:24" ht="15" customHeight="1" thickBot="1">
      <c r="A16" s="85" t="s">
        <v>4</v>
      </c>
      <c r="B16" s="89" t="s">
        <v>11</v>
      </c>
      <c r="C16" s="76">
        <v>9</v>
      </c>
      <c r="D16" s="76"/>
      <c r="E16" s="100">
        <v>6484885862</v>
      </c>
      <c r="F16" s="100">
        <v>9054606187</v>
      </c>
      <c r="G16" s="100">
        <v>15539492049</v>
      </c>
      <c r="H16" s="96">
        <v>24052</v>
      </c>
      <c r="I16" s="100">
        <v>543304168</v>
      </c>
      <c r="J16" s="100">
        <v>15462545603</v>
      </c>
      <c r="K16" s="100">
        <v>16005849771</v>
      </c>
      <c r="L16" s="96">
        <v>26765</v>
      </c>
      <c r="M16" s="100">
        <v>241710364</v>
      </c>
      <c r="N16" s="100">
        <v>16013684726</v>
      </c>
      <c r="O16" s="100">
        <v>16255395090</v>
      </c>
      <c r="P16" s="96">
        <v>26832</v>
      </c>
      <c r="Q16" s="100">
        <v>312673249</v>
      </c>
      <c r="R16" s="100">
        <v>16393720147</v>
      </c>
      <c r="S16" s="100">
        <v>16706393396</v>
      </c>
      <c r="T16" s="96">
        <v>26882</v>
      </c>
      <c r="U16" s="100">
        <v>300623045</v>
      </c>
      <c r="V16" s="100">
        <v>16895983014</v>
      </c>
      <c r="W16" s="100">
        <v>17196606059</v>
      </c>
      <c r="X16" s="96">
        <v>26906</v>
      </c>
    </row>
    <row r="17" spans="1:24" s="9" customFormat="1" ht="15" customHeight="1">
      <c r="A17" s="83" t="s">
        <v>4</v>
      </c>
      <c r="B17" s="88" t="s">
        <v>5</v>
      </c>
      <c r="C17" s="75"/>
      <c r="D17" s="75"/>
      <c r="E17" s="99">
        <f>SUM(E18:E19)</f>
        <v>43306531642</v>
      </c>
      <c r="F17" s="99">
        <f t="shared" ref="F17:X17" si="10">SUM(F18:F19)</f>
        <v>91100061361</v>
      </c>
      <c r="G17" s="99">
        <f t="shared" si="10"/>
        <v>134406593003</v>
      </c>
      <c r="H17" s="95">
        <f t="shared" si="10"/>
        <v>2392222</v>
      </c>
      <c r="I17" s="99">
        <f t="shared" si="10"/>
        <v>19403549895</v>
      </c>
      <c r="J17" s="99">
        <f t="shared" si="10"/>
        <v>145341205405</v>
      </c>
      <c r="K17" s="99">
        <f t="shared" si="10"/>
        <v>164744755300</v>
      </c>
      <c r="L17" s="95">
        <f t="shared" si="10"/>
        <v>2526458</v>
      </c>
      <c r="M17" s="99">
        <f t="shared" si="10"/>
        <v>24701651636</v>
      </c>
      <c r="N17" s="99">
        <f t="shared" si="10"/>
        <v>157231761018</v>
      </c>
      <c r="O17" s="99">
        <f t="shared" si="10"/>
        <v>181933412654</v>
      </c>
      <c r="P17" s="95">
        <f t="shared" si="10"/>
        <v>2620208</v>
      </c>
      <c r="Q17" s="99">
        <f t="shared" si="10"/>
        <v>44063038756</v>
      </c>
      <c r="R17" s="99">
        <f t="shared" si="10"/>
        <v>180563423811</v>
      </c>
      <c r="S17" s="99">
        <f t="shared" si="10"/>
        <v>224626462567</v>
      </c>
      <c r="T17" s="95">
        <f t="shared" si="10"/>
        <v>2623379</v>
      </c>
      <c r="U17" s="99">
        <f t="shared" si="10"/>
        <v>61600578408</v>
      </c>
      <c r="V17" s="99">
        <f t="shared" si="10"/>
        <v>231662956841</v>
      </c>
      <c r="W17" s="99">
        <f t="shared" si="10"/>
        <v>293259918660</v>
      </c>
      <c r="X17" s="95">
        <f t="shared" si="10"/>
        <v>2624980</v>
      </c>
    </row>
    <row r="18" spans="1:24" s="9" customFormat="1" ht="15" customHeight="1">
      <c r="A18" s="85" t="s">
        <v>4</v>
      </c>
      <c r="B18" s="89" t="s">
        <v>12</v>
      </c>
      <c r="C18" s="164" t="s">
        <v>19</v>
      </c>
      <c r="D18" s="165"/>
      <c r="E18" s="100">
        <f>+E8+E9+E10</f>
        <v>18987072734</v>
      </c>
      <c r="F18" s="100">
        <f t="shared" ref="F18:X18" si="11">+F8+F9+F10</f>
        <v>24511456077</v>
      </c>
      <c r="G18" s="100">
        <f t="shared" si="11"/>
        <v>43498528811</v>
      </c>
      <c r="H18" s="96">
        <f t="shared" si="11"/>
        <v>1206240</v>
      </c>
      <c r="I18" s="100">
        <f t="shared" si="11"/>
        <v>17427879041</v>
      </c>
      <c r="J18" s="100">
        <f t="shared" si="11"/>
        <v>47886527834</v>
      </c>
      <c r="K18" s="100">
        <f t="shared" si="11"/>
        <v>65314406875</v>
      </c>
      <c r="L18" s="96">
        <f t="shared" si="11"/>
        <v>1265599</v>
      </c>
      <c r="M18" s="100">
        <f t="shared" si="11"/>
        <v>24111429644</v>
      </c>
      <c r="N18" s="100">
        <f t="shared" si="11"/>
        <v>58235370046</v>
      </c>
      <c r="O18" s="100">
        <f t="shared" si="11"/>
        <v>82346799690</v>
      </c>
      <c r="P18" s="96">
        <f t="shared" si="11"/>
        <v>1357924</v>
      </c>
      <c r="Q18" s="100">
        <f t="shared" si="11"/>
        <v>43315363803</v>
      </c>
      <c r="R18" s="100">
        <f t="shared" si="11"/>
        <v>80515059845</v>
      </c>
      <c r="S18" s="100">
        <f t="shared" si="11"/>
        <v>123830423648</v>
      </c>
      <c r="T18" s="96">
        <f t="shared" si="11"/>
        <v>1360129</v>
      </c>
      <c r="U18" s="100">
        <f t="shared" si="11"/>
        <v>60851500664</v>
      </c>
      <c r="V18" s="100">
        <f t="shared" si="11"/>
        <v>128988310035</v>
      </c>
      <c r="W18" s="100">
        <f t="shared" si="11"/>
        <v>189836194110</v>
      </c>
      <c r="X18" s="96">
        <f t="shared" si="11"/>
        <v>1360998</v>
      </c>
    </row>
    <row r="19" spans="1:24" s="9" customFormat="1" ht="15" customHeight="1" thickBot="1">
      <c r="A19" s="86" t="s">
        <v>4</v>
      </c>
      <c r="B19" s="90" t="s">
        <v>13</v>
      </c>
      <c r="C19" s="166" t="s">
        <v>20</v>
      </c>
      <c r="D19" s="167"/>
      <c r="E19" s="101">
        <f>+E11+E12+E13+E14+E15+E16</f>
        <v>24319458908</v>
      </c>
      <c r="F19" s="101">
        <f t="shared" ref="F19:X19" si="12">+F11+F12+F13+F14+F15+F16</f>
        <v>66588605284</v>
      </c>
      <c r="G19" s="101">
        <f t="shared" si="12"/>
        <v>90908064192</v>
      </c>
      <c r="H19" s="97">
        <f t="shared" si="12"/>
        <v>1185982</v>
      </c>
      <c r="I19" s="101">
        <f t="shared" si="12"/>
        <v>1975670854</v>
      </c>
      <c r="J19" s="101">
        <f t="shared" si="12"/>
        <v>97454677571</v>
      </c>
      <c r="K19" s="101">
        <f t="shared" si="12"/>
        <v>99430348425</v>
      </c>
      <c r="L19" s="97">
        <f t="shared" si="12"/>
        <v>1260859</v>
      </c>
      <c r="M19" s="101">
        <f t="shared" si="12"/>
        <v>590221992</v>
      </c>
      <c r="N19" s="101">
        <f t="shared" si="12"/>
        <v>98996390972</v>
      </c>
      <c r="O19" s="101">
        <f t="shared" si="12"/>
        <v>99586612964</v>
      </c>
      <c r="P19" s="97">
        <f t="shared" si="12"/>
        <v>1262284</v>
      </c>
      <c r="Q19" s="101">
        <f t="shared" si="12"/>
        <v>747674953</v>
      </c>
      <c r="R19" s="101">
        <f t="shared" si="12"/>
        <v>100048363966</v>
      </c>
      <c r="S19" s="101">
        <f t="shared" si="12"/>
        <v>100796038919</v>
      </c>
      <c r="T19" s="97">
        <f t="shared" si="12"/>
        <v>1263250</v>
      </c>
      <c r="U19" s="101">
        <f t="shared" si="12"/>
        <v>749077744</v>
      </c>
      <c r="V19" s="101">
        <f t="shared" si="12"/>
        <v>102674646806</v>
      </c>
      <c r="W19" s="101">
        <f t="shared" si="12"/>
        <v>103423724550</v>
      </c>
      <c r="X19" s="97">
        <f t="shared" si="12"/>
        <v>1263982</v>
      </c>
    </row>
    <row r="20" spans="1:24" s="9" customFormat="1" ht="15" customHeight="1">
      <c r="A20" s="83" t="s">
        <v>84</v>
      </c>
      <c r="B20" s="88" t="s">
        <v>5</v>
      </c>
      <c r="C20" s="75"/>
      <c r="D20" s="75"/>
      <c r="E20" s="99">
        <f>SUM(E21:E45)</f>
        <v>43306531642</v>
      </c>
      <c r="F20" s="99">
        <f t="shared" ref="F20:X20" si="13">SUM(F21:F45)</f>
        <v>91100061361</v>
      </c>
      <c r="G20" s="99">
        <f t="shared" si="13"/>
        <v>134406593003</v>
      </c>
      <c r="H20" s="95">
        <f t="shared" si="13"/>
        <v>1831261</v>
      </c>
      <c r="I20" s="99">
        <f>SUM(I21:I45)</f>
        <v>19403549895</v>
      </c>
      <c r="J20" s="99">
        <f t="shared" si="13"/>
        <v>145341205405</v>
      </c>
      <c r="K20" s="99">
        <f t="shared" si="13"/>
        <v>164744755300</v>
      </c>
      <c r="L20" s="95">
        <f t="shared" si="13"/>
        <v>1932591</v>
      </c>
      <c r="M20" s="99">
        <f>SUM(M21:M45)</f>
        <v>24701651636</v>
      </c>
      <c r="N20" s="99">
        <f t="shared" si="13"/>
        <v>157231761018</v>
      </c>
      <c r="O20" s="99">
        <f t="shared" si="13"/>
        <v>181933412654</v>
      </c>
      <c r="P20" s="95">
        <f t="shared" si="13"/>
        <v>2011582</v>
      </c>
      <c r="Q20" s="99">
        <f>SUM(Q21:Q45)</f>
        <v>44063038756</v>
      </c>
      <c r="R20" s="99">
        <f t="shared" si="13"/>
        <v>180563423811</v>
      </c>
      <c r="S20" s="99">
        <f t="shared" si="13"/>
        <v>224626462567</v>
      </c>
      <c r="T20" s="95">
        <f t="shared" si="13"/>
        <v>2013396</v>
      </c>
      <c r="U20" s="99">
        <f>SUM(U21:U45)</f>
        <v>61600578408</v>
      </c>
      <c r="V20" s="99">
        <f t="shared" si="13"/>
        <v>231662956841</v>
      </c>
      <c r="W20" s="99">
        <f t="shared" si="13"/>
        <v>293259918660</v>
      </c>
      <c r="X20" s="95">
        <f t="shared" si="13"/>
        <v>2014130</v>
      </c>
    </row>
    <row r="21" spans="1:24" ht="15" customHeight="1">
      <c r="A21" s="85" t="s">
        <v>84</v>
      </c>
      <c r="B21" s="89" t="s">
        <v>57</v>
      </c>
      <c r="C21" s="76"/>
      <c r="D21" s="76"/>
      <c r="E21" s="100">
        <v>6049174259</v>
      </c>
      <c r="F21" s="100">
        <v>11504705084</v>
      </c>
      <c r="G21" s="100">
        <v>17553879343</v>
      </c>
      <c r="H21" s="96">
        <v>212720</v>
      </c>
      <c r="I21" s="100">
        <v>3410200458</v>
      </c>
      <c r="J21" s="100">
        <v>19389696949</v>
      </c>
      <c r="K21" s="100">
        <v>22799897407</v>
      </c>
      <c r="L21" s="96">
        <v>223122</v>
      </c>
      <c r="M21" s="100">
        <v>4618418355</v>
      </c>
      <c r="N21" s="100">
        <v>21071273824</v>
      </c>
      <c r="O21" s="100">
        <v>25689692179</v>
      </c>
      <c r="P21" s="96">
        <v>228601</v>
      </c>
      <c r="Q21" s="100">
        <v>8523808167</v>
      </c>
      <c r="R21" s="100">
        <v>24917279517</v>
      </c>
      <c r="S21" s="100">
        <v>33441087684</v>
      </c>
      <c r="T21" s="96">
        <v>228827</v>
      </c>
      <c r="U21" s="100">
        <v>16627347320</v>
      </c>
      <c r="V21" s="100">
        <v>35822923562</v>
      </c>
      <c r="W21" s="100">
        <v>52450270882</v>
      </c>
      <c r="X21" s="96">
        <v>228891</v>
      </c>
    </row>
    <row r="22" spans="1:24" ht="15" customHeight="1">
      <c r="A22" s="86" t="s">
        <v>84</v>
      </c>
      <c r="B22" s="90" t="s">
        <v>58</v>
      </c>
      <c r="C22" s="77"/>
      <c r="D22" s="77"/>
      <c r="E22" s="101">
        <v>20940907953</v>
      </c>
      <c r="F22" s="101">
        <v>43518581877</v>
      </c>
      <c r="G22" s="101">
        <v>64459489830</v>
      </c>
      <c r="H22" s="97">
        <v>818223</v>
      </c>
      <c r="I22" s="101">
        <v>9566352431</v>
      </c>
      <c r="J22" s="101">
        <v>69657966937</v>
      </c>
      <c r="K22" s="101">
        <v>79224319368</v>
      </c>
      <c r="L22" s="97">
        <v>860808</v>
      </c>
      <c r="M22" s="101">
        <v>12541330772</v>
      </c>
      <c r="N22" s="101">
        <v>75027842045</v>
      </c>
      <c r="O22" s="101">
        <v>87569172817</v>
      </c>
      <c r="P22" s="97">
        <v>889222</v>
      </c>
      <c r="Q22" s="101">
        <v>23081239924</v>
      </c>
      <c r="R22" s="101">
        <v>86222323108</v>
      </c>
      <c r="S22" s="101">
        <v>109303563032</v>
      </c>
      <c r="T22" s="97">
        <v>889974</v>
      </c>
      <c r="U22" s="101">
        <v>31290243959</v>
      </c>
      <c r="V22" s="101">
        <v>112959501633</v>
      </c>
      <c r="W22" s="101">
        <v>144246129003</v>
      </c>
      <c r="X22" s="97">
        <v>890409</v>
      </c>
    </row>
    <row r="23" spans="1:24" ht="15" customHeight="1">
      <c r="A23" s="85" t="s">
        <v>84</v>
      </c>
      <c r="B23" s="89" t="s">
        <v>59</v>
      </c>
      <c r="C23" s="76"/>
      <c r="D23" s="76"/>
      <c r="E23" s="100">
        <v>99242782</v>
      </c>
      <c r="F23" s="100">
        <v>159785154</v>
      </c>
      <c r="G23" s="100">
        <v>259027936</v>
      </c>
      <c r="H23" s="96">
        <v>4366</v>
      </c>
      <c r="I23" s="100">
        <v>25876576</v>
      </c>
      <c r="J23" s="100">
        <v>268970378</v>
      </c>
      <c r="K23" s="100">
        <v>294846954</v>
      </c>
      <c r="L23" s="96">
        <v>4698</v>
      </c>
      <c r="M23" s="100">
        <v>29361792</v>
      </c>
      <c r="N23" s="100">
        <v>283542072</v>
      </c>
      <c r="O23" s="100">
        <v>312903864</v>
      </c>
      <c r="P23" s="96">
        <v>4985</v>
      </c>
      <c r="Q23" s="100">
        <v>38759350</v>
      </c>
      <c r="R23" s="100">
        <v>301621649</v>
      </c>
      <c r="S23" s="100">
        <v>340380999</v>
      </c>
      <c r="T23" s="96">
        <v>4987</v>
      </c>
      <c r="U23" s="100">
        <v>97658725</v>
      </c>
      <c r="V23" s="100">
        <v>326805228</v>
      </c>
      <c r="W23" s="100">
        <v>424463953</v>
      </c>
      <c r="X23" s="96">
        <v>4987</v>
      </c>
    </row>
    <row r="24" spans="1:24" ht="15" customHeight="1">
      <c r="A24" s="86" t="s">
        <v>84</v>
      </c>
      <c r="B24" s="90" t="s">
        <v>60</v>
      </c>
      <c r="C24" s="77"/>
      <c r="D24" s="77"/>
      <c r="E24" s="101">
        <v>3399280198</v>
      </c>
      <c r="F24" s="101">
        <v>7281513782</v>
      </c>
      <c r="G24" s="101">
        <v>10680793980</v>
      </c>
      <c r="H24" s="97">
        <v>170897</v>
      </c>
      <c r="I24" s="101">
        <v>951555930</v>
      </c>
      <c r="J24" s="101">
        <v>11365041496</v>
      </c>
      <c r="K24" s="101">
        <v>12316597426</v>
      </c>
      <c r="L24" s="97">
        <v>181503</v>
      </c>
      <c r="M24" s="101">
        <v>1012646988</v>
      </c>
      <c r="N24" s="101">
        <v>12028054888</v>
      </c>
      <c r="O24" s="101">
        <v>13040701876</v>
      </c>
      <c r="P24" s="97">
        <v>190946</v>
      </c>
      <c r="Q24" s="101">
        <v>1238650083</v>
      </c>
      <c r="R24" s="101">
        <v>13389507341</v>
      </c>
      <c r="S24" s="101">
        <v>14628157424</v>
      </c>
      <c r="T24" s="97">
        <v>191032</v>
      </c>
      <c r="U24" s="101">
        <v>1232936072</v>
      </c>
      <c r="V24" s="101">
        <v>14787116702</v>
      </c>
      <c r="W24" s="101">
        <v>16020052774</v>
      </c>
      <c r="X24" s="97">
        <v>191041</v>
      </c>
    </row>
    <row r="25" spans="1:24" ht="15" customHeight="1">
      <c r="A25" s="85" t="s">
        <v>84</v>
      </c>
      <c r="B25" s="89" t="s">
        <v>61</v>
      </c>
      <c r="C25" s="76"/>
      <c r="D25" s="76"/>
      <c r="E25" s="100">
        <v>355591448</v>
      </c>
      <c r="F25" s="100">
        <v>779216780</v>
      </c>
      <c r="G25" s="100">
        <v>1134808228</v>
      </c>
      <c r="H25" s="96">
        <v>15733</v>
      </c>
      <c r="I25" s="100">
        <v>107621266</v>
      </c>
      <c r="J25" s="100">
        <v>1232101159</v>
      </c>
      <c r="K25" s="100">
        <v>1339722425</v>
      </c>
      <c r="L25" s="96">
        <v>16405</v>
      </c>
      <c r="M25" s="100">
        <v>146661161</v>
      </c>
      <c r="N25" s="100">
        <v>1413215913</v>
      </c>
      <c r="O25" s="100">
        <v>1559877074</v>
      </c>
      <c r="P25" s="96">
        <v>17109</v>
      </c>
      <c r="Q25" s="100">
        <v>150247056</v>
      </c>
      <c r="R25" s="100">
        <v>1597730681</v>
      </c>
      <c r="S25" s="100">
        <v>1747977737</v>
      </c>
      <c r="T25" s="96">
        <v>17122</v>
      </c>
      <c r="U25" s="100">
        <v>295100968</v>
      </c>
      <c r="V25" s="100">
        <v>1740896468</v>
      </c>
      <c r="W25" s="100">
        <v>2035997436</v>
      </c>
      <c r="X25" s="96">
        <v>17123</v>
      </c>
    </row>
    <row r="26" spans="1:24" ht="15" customHeight="1">
      <c r="A26" s="86" t="s">
        <v>84</v>
      </c>
      <c r="B26" s="90" t="s">
        <v>62</v>
      </c>
      <c r="C26" s="77"/>
      <c r="D26" s="77"/>
      <c r="E26" s="101">
        <v>741779195</v>
      </c>
      <c r="F26" s="101">
        <v>1921375168</v>
      </c>
      <c r="G26" s="101">
        <v>2663154363</v>
      </c>
      <c r="H26" s="97">
        <v>48177</v>
      </c>
      <c r="I26" s="101">
        <v>192136856</v>
      </c>
      <c r="J26" s="101">
        <v>2752342276</v>
      </c>
      <c r="K26" s="101">
        <v>2944479132</v>
      </c>
      <c r="L26" s="97">
        <v>50884</v>
      </c>
      <c r="M26" s="101">
        <v>173325551</v>
      </c>
      <c r="N26" s="101">
        <v>2904789651</v>
      </c>
      <c r="O26" s="101">
        <v>3078115202</v>
      </c>
      <c r="P26" s="97">
        <v>54665</v>
      </c>
      <c r="Q26" s="101">
        <v>718523401</v>
      </c>
      <c r="R26" s="101">
        <v>3269435248</v>
      </c>
      <c r="S26" s="101">
        <v>3987958649</v>
      </c>
      <c r="T26" s="97">
        <v>54705</v>
      </c>
      <c r="U26" s="101">
        <v>318535635</v>
      </c>
      <c r="V26" s="101">
        <v>3830314857</v>
      </c>
      <c r="W26" s="101">
        <v>4148850492</v>
      </c>
      <c r="X26" s="97">
        <v>54707</v>
      </c>
    </row>
    <row r="27" spans="1:24" ht="15" customHeight="1">
      <c r="A27" s="85" t="s">
        <v>84</v>
      </c>
      <c r="B27" s="89" t="s">
        <v>63</v>
      </c>
      <c r="C27" s="76"/>
      <c r="D27" s="76"/>
      <c r="E27" s="100">
        <v>148677846</v>
      </c>
      <c r="F27" s="100">
        <v>259099150</v>
      </c>
      <c r="G27" s="100">
        <v>407776996</v>
      </c>
      <c r="H27" s="96">
        <v>7434</v>
      </c>
      <c r="I27" s="100">
        <v>42062640</v>
      </c>
      <c r="J27" s="100">
        <v>447795199</v>
      </c>
      <c r="K27" s="100">
        <v>489857839</v>
      </c>
      <c r="L27" s="96">
        <v>7905</v>
      </c>
      <c r="M27" s="100">
        <v>61566436</v>
      </c>
      <c r="N27" s="100">
        <v>485561999</v>
      </c>
      <c r="O27" s="100">
        <v>547128435</v>
      </c>
      <c r="P27" s="96">
        <v>8361</v>
      </c>
      <c r="Q27" s="100">
        <v>124948315</v>
      </c>
      <c r="R27" s="100">
        <v>524940392</v>
      </c>
      <c r="S27" s="100">
        <v>649888707</v>
      </c>
      <c r="T27" s="96">
        <v>8364</v>
      </c>
      <c r="U27" s="100">
        <v>198229160</v>
      </c>
      <c r="V27" s="100">
        <v>664535619</v>
      </c>
      <c r="W27" s="100">
        <v>862764779</v>
      </c>
      <c r="X27" s="96">
        <v>8367</v>
      </c>
    </row>
    <row r="28" spans="1:24" ht="15" customHeight="1">
      <c r="A28" s="86" t="s">
        <v>84</v>
      </c>
      <c r="B28" s="90" t="s">
        <v>64</v>
      </c>
      <c r="C28" s="77"/>
      <c r="D28" s="77"/>
      <c r="E28" s="101">
        <v>1542288838</v>
      </c>
      <c r="F28" s="101">
        <v>3513179515</v>
      </c>
      <c r="G28" s="101">
        <v>5055468353</v>
      </c>
      <c r="H28" s="97">
        <v>71791</v>
      </c>
      <c r="I28" s="101">
        <v>631130312</v>
      </c>
      <c r="J28" s="101">
        <v>5746387557</v>
      </c>
      <c r="K28" s="101">
        <v>6377517869</v>
      </c>
      <c r="L28" s="97">
        <v>75070</v>
      </c>
      <c r="M28" s="101">
        <v>1022349366</v>
      </c>
      <c r="N28" s="101">
        <v>6754660280</v>
      </c>
      <c r="O28" s="101">
        <v>7777009646</v>
      </c>
      <c r="P28" s="97">
        <v>77792</v>
      </c>
      <c r="Q28" s="101">
        <v>1449505114</v>
      </c>
      <c r="R28" s="101">
        <v>8661447041</v>
      </c>
      <c r="S28" s="101">
        <v>10110952155</v>
      </c>
      <c r="T28" s="97">
        <v>77846</v>
      </c>
      <c r="U28" s="101">
        <v>1173427706</v>
      </c>
      <c r="V28" s="101">
        <v>11441523185</v>
      </c>
      <c r="W28" s="101">
        <v>12614950891</v>
      </c>
      <c r="X28" s="97">
        <v>77853</v>
      </c>
    </row>
    <row r="29" spans="1:24" ht="15" customHeight="1">
      <c r="A29" s="85" t="s">
        <v>84</v>
      </c>
      <c r="B29" s="89" t="s">
        <v>65</v>
      </c>
      <c r="C29" s="76"/>
      <c r="D29" s="76"/>
      <c r="E29" s="100">
        <v>68363620</v>
      </c>
      <c r="F29" s="100">
        <v>92273632</v>
      </c>
      <c r="G29" s="100">
        <v>160637252</v>
      </c>
      <c r="H29" s="96">
        <v>2251</v>
      </c>
      <c r="I29" s="100">
        <v>19805987</v>
      </c>
      <c r="J29" s="100">
        <v>169170448</v>
      </c>
      <c r="K29" s="100">
        <v>188976435</v>
      </c>
      <c r="L29" s="96">
        <v>2445</v>
      </c>
      <c r="M29" s="100">
        <v>23410122</v>
      </c>
      <c r="N29" s="100">
        <v>184428288</v>
      </c>
      <c r="O29" s="100">
        <v>207838410</v>
      </c>
      <c r="P29" s="96">
        <v>2548</v>
      </c>
      <c r="Q29" s="100">
        <v>39718113</v>
      </c>
      <c r="R29" s="100">
        <v>220130925</v>
      </c>
      <c r="S29" s="100">
        <v>259849038</v>
      </c>
      <c r="T29" s="96">
        <v>2548</v>
      </c>
      <c r="U29" s="100">
        <v>79258635</v>
      </c>
      <c r="V29" s="100">
        <v>231827708</v>
      </c>
      <c r="W29" s="100">
        <v>311086343</v>
      </c>
      <c r="X29" s="96">
        <v>2549</v>
      </c>
    </row>
    <row r="30" spans="1:24" ht="15" customHeight="1">
      <c r="A30" s="86" t="s">
        <v>84</v>
      </c>
      <c r="B30" s="90" t="s">
        <v>66</v>
      </c>
      <c r="C30" s="77"/>
      <c r="D30" s="77"/>
      <c r="E30" s="101">
        <v>292453416</v>
      </c>
      <c r="F30" s="101">
        <v>611453153</v>
      </c>
      <c r="G30" s="101">
        <v>903906569</v>
      </c>
      <c r="H30" s="97">
        <v>14350</v>
      </c>
      <c r="I30" s="101">
        <v>73001801</v>
      </c>
      <c r="J30" s="101">
        <v>998221815</v>
      </c>
      <c r="K30" s="101">
        <v>1071223616</v>
      </c>
      <c r="L30" s="97">
        <v>15073</v>
      </c>
      <c r="M30" s="101">
        <v>86260717</v>
      </c>
      <c r="N30" s="101">
        <v>1052397220</v>
      </c>
      <c r="O30" s="101">
        <v>1138657937</v>
      </c>
      <c r="P30" s="97">
        <v>15282</v>
      </c>
      <c r="Q30" s="101">
        <v>80344403</v>
      </c>
      <c r="R30" s="101">
        <v>1123073798</v>
      </c>
      <c r="S30" s="101">
        <v>1203418201</v>
      </c>
      <c r="T30" s="97">
        <v>15286</v>
      </c>
      <c r="U30" s="101">
        <v>452389547</v>
      </c>
      <c r="V30" s="101">
        <v>1137894659</v>
      </c>
      <c r="W30" s="101">
        <v>1590284206</v>
      </c>
      <c r="X30" s="97">
        <v>15287</v>
      </c>
    </row>
    <row r="31" spans="1:24" ht="15" customHeight="1">
      <c r="A31" s="85" t="s">
        <v>84</v>
      </c>
      <c r="B31" s="89" t="s">
        <v>67</v>
      </c>
      <c r="C31" s="76"/>
      <c r="D31" s="76"/>
      <c r="E31" s="100">
        <v>234673388</v>
      </c>
      <c r="F31" s="100">
        <v>420955877</v>
      </c>
      <c r="G31" s="100">
        <v>655629265</v>
      </c>
      <c r="H31" s="96">
        <v>11752</v>
      </c>
      <c r="I31" s="100">
        <v>188538330</v>
      </c>
      <c r="J31" s="100">
        <v>744103975</v>
      </c>
      <c r="K31" s="100">
        <v>932642305</v>
      </c>
      <c r="L31" s="96">
        <v>12609</v>
      </c>
      <c r="M31" s="100">
        <v>144900943</v>
      </c>
      <c r="N31" s="100">
        <v>915220280</v>
      </c>
      <c r="O31" s="100">
        <v>1060121223</v>
      </c>
      <c r="P31" s="96">
        <v>13956</v>
      </c>
      <c r="Q31" s="100">
        <v>316041965</v>
      </c>
      <c r="R31" s="100">
        <v>1021024564</v>
      </c>
      <c r="S31" s="100">
        <v>1337066529</v>
      </c>
      <c r="T31" s="96">
        <v>13971</v>
      </c>
      <c r="U31" s="100">
        <v>203966997</v>
      </c>
      <c r="V31" s="100">
        <v>1643130755</v>
      </c>
      <c r="W31" s="100">
        <v>1847097752</v>
      </c>
      <c r="X31" s="96">
        <v>13974</v>
      </c>
    </row>
    <row r="32" spans="1:24" ht="15" customHeight="1">
      <c r="A32" s="86" t="s">
        <v>84</v>
      </c>
      <c r="B32" s="90" t="s">
        <v>68</v>
      </c>
      <c r="C32" s="77"/>
      <c r="D32" s="77"/>
      <c r="E32" s="101">
        <v>203185666</v>
      </c>
      <c r="F32" s="101">
        <v>517431484</v>
      </c>
      <c r="G32" s="101">
        <v>720617150</v>
      </c>
      <c r="H32" s="97">
        <v>11585</v>
      </c>
      <c r="I32" s="101">
        <v>41506534</v>
      </c>
      <c r="J32" s="101">
        <v>768899975</v>
      </c>
      <c r="K32" s="101">
        <v>810406509</v>
      </c>
      <c r="L32" s="97">
        <v>12097</v>
      </c>
      <c r="M32" s="101">
        <v>109548899</v>
      </c>
      <c r="N32" s="101">
        <v>800602287</v>
      </c>
      <c r="O32" s="101">
        <v>910151186</v>
      </c>
      <c r="P32" s="97">
        <v>12734</v>
      </c>
      <c r="Q32" s="101">
        <v>199786603</v>
      </c>
      <c r="R32" s="101">
        <v>972788953</v>
      </c>
      <c r="S32" s="101">
        <v>1172575556</v>
      </c>
      <c r="T32" s="97">
        <v>12742</v>
      </c>
      <c r="U32" s="101">
        <v>297501428</v>
      </c>
      <c r="V32" s="101">
        <v>1066580346</v>
      </c>
      <c r="W32" s="101">
        <v>1364081774</v>
      </c>
      <c r="X32" s="97">
        <v>12744</v>
      </c>
    </row>
    <row r="33" spans="1:24" ht="15" customHeight="1">
      <c r="A33" s="85" t="s">
        <v>84</v>
      </c>
      <c r="B33" s="89" t="s">
        <v>69</v>
      </c>
      <c r="C33" s="76"/>
      <c r="D33" s="76"/>
      <c r="E33" s="100">
        <v>4052349011</v>
      </c>
      <c r="F33" s="100">
        <v>8580177196</v>
      </c>
      <c r="G33" s="100">
        <v>12632526207</v>
      </c>
      <c r="H33" s="96">
        <v>174354</v>
      </c>
      <c r="I33" s="100">
        <v>1625299208</v>
      </c>
      <c r="J33" s="100">
        <v>13386345349</v>
      </c>
      <c r="K33" s="100">
        <v>15011644557</v>
      </c>
      <c r="L33" s="96">
        <v>186089</v>
      </c>
      <c r="M33" s="100">
        <v>1755332963</v>
      </c>
      <c r="N33" s="100">
        <v>14508135636</v>
      </c>
      <c r="O33" s="100">
        <v>16263468599</v>
      </c>
      <c r="P33" s="96">
        <v>196348</v>
      </c>
      <c r="Q33" s="100">
        <v>2479372026</v>
      </c>
      <c r="R33" s="100">
        <v>15994004573</v>
      </c>
      <c r="S33" s="100">
        <v>18473376599</v>
      </c>
      <c r="T33" s="96">
        <v>196783</v>
      </c>
      <c r="U33" s="100">
        <v>2610225067</v>
      </c>
      <c r="V33" s="100">
        <v>18913927253</v>
      </c>
      <c r="W33" s="100">
        <v>21524152320</v>
      </c>
      <c r="X33" s="96">
        <v>196976</v>
      </c>
    </row>
    <row r="34" spans="1:24" ht="15" customHeight="1">
      <c r="A34" s="86" t="s">
        <v>84</v>
      </c>
      <c r="B34" s="90" t="s">
        <v>70</v>
      </c>
      <c r="C34" s="77"/>
      <c r="D34" s="77"/>
      <c r="E34" s="101">
        <v>303777984</v>
      </c>
      <c r="F34" s="101">
        <v>422165735</v>
      </c>
      <c r="G34" s="101">
        <v>725943719</v>
      </c>
      <c r="H34" s="97">
        <v>7823</v>
      </c>
      <c r="I34" s="101">
        <v>234176276</v>
      </c>
      <c r="J34" s="101">
        <v>726543559</v>
      </c>
      <c r="K34" s="101">
        <v>960719835</v>
      </c>
      <c r="L34" s="97">
        <v>8249</v>
      </c>
      <c r="M34" s="101">
        <v>311646330</v>
      </c>
      <c r="N34" s="101">
        <v>841177062</v>
      </c>
      <c r="O34" s="101">
        <v>1152823392</v>
      </c>
      <c r="P34" s="97">
        <v>8660</v>
      </c>
      <c r="Q34" s="101">
        <v>360069330</v>
      </c>
      <c r="R34" s="101">
        <v>1116902668</v>
      </c>
      <c r="S34" s="101">
        <v>1476971998</v>
      </c>
      <c r="T34" s="97">
        <v>8666</v>
      </c>
      <c r="U34" s="101">
        <v>453586643</v>
      </c>
      <c r="V34" s="101">
        <v>1342255932</v>
      </c>
      <c r="W34" s="101">
        <v>1795842575</v>
      </c>
      <c r="X34" s="97">
        <v>8667</v>
      </c>
    </row>
    <row r="35" spans="1:24" ht="15" customHeight="1">
      <c r="A35" s="85" t="s">
        <v>84</v>
      </c>
      <c r="B35" s="89" t="s">
        <v>71</v>
      </c>
      <c r="C35" s="76"/>
      <c r="D35" s="76"/>
      <c r="E35" s="100">
        <v>588727391</v>
      </c>
      <c r="F35" s="100">
        <v>1347826446</v>
      </c>
      <c r="G35" s="100">
        <v>1936553837</v>
      </c>
      <c r="H35" s="96">
        <v>39908</v>
      </c>
      <c r="I35" s="100">
        <v>284644011</v>
      </c>
      <c r="J35" s="100">
        <v>2229154735</v>
      </c>
      <c r="K35" s="100">
        <v>2513798746</v>
      </c>
      <c r="L35" s="96">
        <v>43103</v>
      </c>
      <c r="M35" s="100">
        <v>254829598</v>
      </c>
      <c r="N35" s="100">
        <v>2401605755</v>
      </c>
      <c r="O35" s="100">
        <v>2656435353</v>
      </c>
      <c r="P35" s="96">
        <v>47965</v>
      </c>
      <c r="Q35" s="100">
        <v>556448768</v>
      </c>
      <c r="R35" s="100">
        <v>2667709612</v>
      </c>
      <c r="S35" s="100">
        <v>3224158380</v>
      </c>
      <c r="T35" s="96">
        <v>48001</v>
      </c>
      <c r="U35" s="100">
        <v>841701304</v>
      </c>
      <c r="V35" s="100">
        <v>3325122910</v>
      </c>
      <c r="W35" s="100">
        <v>4166824214</v>
      </c>
      <c r="X35" s="96">
        <v>48005</v>
      </c>
    </row>
    <row r="36" spans="1:24" ht="15" customHeight="1">
      <c r="A36" s="86" t="s">
        <v>84</v>
      </c>
      <c r="B36" s="90" t="s">
        <v>72</v>
      </c>
      <c r="C36" s="77"/>
      <c r="D36" s="77"/>
      <c r="E36" s="101">
        <v>549206255</v>
      </c>
      <c r="F36" s="101">
        <v>933254564</v>
      </c>
      <c r="G36" s="101">
        <v>1482460819</v>
      </c>
      <c r="H36" s="97">
        <v>19621</v>
      </c>
      <c r="I36" s="101">
        <v>360753445</v>
      </c>
      <c r="J36" s="101">
        <v>1522858231</v>
      </c>
      <c r="K36" s="101">
        <v>1883611676</v>
      </c>
      <c r="L36" s="97">
        <v>20567</v>
      </c>
      <c r="M36" s="101">
        <v>699485407</v>
      </c>
      <c r="N36" s="101">
        <v>1713641747</v>
      </c>
      <c r="O36" s="101">
        <v>2413127154</v>
      </c>
      <c r="P36" s="97">
        <v>21260</v>
      </c>
      <c r="Q36" s="101">
        <v>645404255</v>
      </c>
      <c r="R36" s="101">
        <v>2084019514</v>
      </c>
      <c r="S36" s="101">
        <v>2729423769</v>
      </c>
      <c r="T36" s="97">
        <v>21272</v>
      </c>
      <c r="U36" s="101">
        <v>1019328224</v>
      </c>
      <c r="V36" s="101">
        <v>2721286651</v>
      </c>
      <c r="W36" s="101">
        <v>3740614875</v>
      </c>
      <c r="X36" s="97">
        <v>21272</v>
      </c>
    </row>
    <row r="37" spans="1:24" ht="15" customHeight="1">
      <c r="A37" s="85" t="s">
        <v>84</v>
      </c>
      <c r="B37" s="89" t="s">
        <v>73</v>
      </c>
      <c r="C37" s="76"/>
      <c r="D37" s="76"/>
      <c r="E37" s="100">
        <v>602174429</v>
      </c>
      <c r="F37" s="100">
        <v>1932726214</v>
      </c>
      <c r="G37" s="100">
        <v>2534900643</v>
      </c>
      <c r="H37" s="96">
        <v>46154</v>
      </c>
      <c r="I37" s="100">
        <v>128454065</v>
      </c>
      <c r="J37" s="100">
        <v>2859687737</v>
      </c>
      <c r="K37" s="100">
        <v>2988141802</v>
      </c>
      <c r="L37" s="96">
        <v>49663</v>
      </c>
      <c r="M37" s="100">
        <v>136530514</v>
      </c>
      <c r="N37" s="100">
        <v>2937475305</v>
      </c>
      <c r="O37" s="100">
        <v>3074005819</v>
      </c>
      <c r="P37" s="96">
        <v>52373</v>
      </c>
      <c r="Q37" s="100">
        <v>310297329</v>
      </c>
      <c r="R37" s="100">
        <v>3140643941</v>
      </c>
      <c r="S37" s="100">
        <v>3450941270</v>
      </c>
      <c r="T37" s="96">
        <v>52393</v>
      </c>
      <c r="U37" s="100">
        <v>496782914</v>
      </c>
      <c r="V37" s="100">
        <v>3465093110</v>
      </c>
      <c r="W37" s="100">
        <v>3961876024</v>
      </c>
      <c r="X37" s="96">
        <v>52393</v>
      </c>
    </row>
    <row r="38" spans="1:24" ht="15" customHeight="1">
      <c r="A38" s="86" t="s">
        <v>84</v>
      </c>
      <c r="B38" s="90" t="s">
        <v>74</v>
      </c>
      <c r="C38" s="77"/>
      <c r="D38" s="77"/>
      <c r="E38" s="101">
        <v>102492737</v>
      </c>
      <c r="F38" s="101">
        <v>268604937</v>
      </c>
      <c r="G38" s="101">
        <v>371097674</v>
      </c>
      <c r="H38" s="97">
        <v>5199</v>
      </c>
      <c r="I38" s="101">
        <v>40118094</v>
      </c>
      <c r="J38" s="101">
        <v>374845121</v>
      </c>
      <c r="K38" s="101">
        <v>414963215</v>
      </c>
      <c r="L38" s="97">
        <v>5410</v>
      </c>
      <c r="M38" s="101">
        <v>48653745</v>
      </c>
      <c r="N38" s="101">
        <v>393174189</v>
      </c>
      <c r="O38" s="101">
        <v>441827934</v>
      </c>
      <c r="P38" s="97">
        <v>5636</v>
      </c>
      <c r="Q38" s="101">
        <v>267588737</v>
      </c>
      <c r="R38" s="101">
        <v>459845782</v>
      </c>
      <c r="S38" s="101">
        <v>727434519</v>
      </c>
      <c r="T38" s="97">
        <v>5637</v>
      </c>
      <c r="U38" s="101">
        <v>188765146</v>
      </c>
      <c r="V38" s="101">
        <v>484492099</v>
      </c>
      <c r="W38" s="101">
        <v>673257245</v>
      </c>
      <c r="X38" s="97">
        <v>5639</v>
      </c>
    </row>
    <row r="39" spans="1:24" ht="15" customHeight="1">
      <c r="A39" s="85" t="s">
        <v>84</v>
      </c>
      <c r="B39" s="89" t="s">
        <v>75</v>
      </c>
      <c r="C39" s="76"/>
      <c r="D39" s="76"/>
      <c r="E39" s="100">
        <v>586004267</v>
      </c>
      <c r="F39" s="100">
        <v>846743034</v>
      </c>
      <c r="G39" s="100">
        <v>1432747301</v>
      </c>
      <c r="H39" s="96">
        <v>18979</v>
      </c>
      <c r="I39" s="100">
        <v>664285634</v>
      </c>
      <c r="J39" s="100">
        <v>1282669210</v>
      </c>
      <c r="K39" s="100">
        <v>1946954844</v>
      </c>
      <c r="L39" s="96">
        <v>20166</v>
      </c>
      <c r="M39" s="100">
        <v>417106608</v>
      </c>
      <c r="N39" s="100">
        <v>1440917060</v>
      </c>
      <c r="O39" s="100">
        <v>1858023668</v>
      </c>
      <c r="P39" s="96">
        <v>22072</v>
      </c>
      <c r="Q39" s="100">
        <v>1581364816</v>
      </c>
      <c r="R39" s="100">
        <v>1756097768</v>
      </c>
      <c r="S39" s="100">
        <v>3337462584</v>
      </c>
      <c r="T39" s="96">
        <v>22087</v>
      </c>
      <c r="U39" s="100">
        <v>840227002</v>
      </c>
      <c r="V39" s="100">
        <v>2484487234</v>
      </c>
      <c r="W39" s="100">
        <v>3324714236</v>
      </c>
      <c r="X39" s="96">
        <v>22088</v>
      </c>
    </row>
    <row r="40" spans="1:24" ht="15" customHeight="1">
      <c r="A40" s="86" t="s">
        <v>84</v>
      </c>
      <c r="B40" s="90" t="s">
        <v>76</v>
      </c>
      <c r="C40" s="77"/>
      <c r="D40" s="77"/>
      <c r="E40" s="101">
        <v>758954060</v>
      </c>
      <c r="F40" s="101">
        <v>2130672087</v>
      </c>
      <c r="G40" s="101">
        <v>2889626147</v>
      </c>
      <c r="H40" s="97">
        <v>44721</v>
      </c>
      <c r="I40" s="101">
        <v>284350863</v>
      </c>
      <c r="J40" s="101">
        <v>3187952322</v>
      </c>
      <c r="K40" s="101">
        <v>3472303185</v>
      </c>
      <c r="L40" s="97">
        <v>47410</v>
      </c>
      <c r="M40" s="101">
        <v>417528603</v>
      </c>
      <c r="N40" s="101">
        <v>3417113803</v>
      </c>
      <c r="O40" s="101">
        <v>3834642406</v>
      </c>
      <c r="P40" s="97">
        <v>48719</v>
      </c>
      <c r="Q40" s="101">
        <v>638556613</v>
      </c>
      <c r="R40" s="101">
        <v>3861633460</v>
      </c>
      <c r="S40" s="101">
        <v>4500190073</v>
      </c>
      <c r="T40" s="97">
        <v>48731</v>
      </c>
      <c r="U40" s="101">
        <v>1173344642</v>
      </c>
      <c r="V40" s="101">
        <v>4733066329</v>
      </c>
      <c r="W40" s="101">
        <v>5906410971</v>
      </c>
      <c r="X40" s="97">
        <v>48733</v>
      </c>
    </row>
    <row r="41" spans="1:24" ht="15" customHeight="1">
      <c r="A41" s="85" t="s">
        <v>84</v>
      </c>
      <c r="B41" s="89" t="s">
        <v>77</v>
      </c>
      <c r="C41" s="76"/>
      <c r="D41" s="76"/>
      <c r="E41" s="100">
        <v>310970370</v>
      </c>
      <c r="F41" s="100">
        <v>868625694</v>
      </c>
      <c r="G41" s="100">
        <v>1179596064</v>
      </c>
      <c r="H41" s="96">
        <v>15039</v>
      </c>
      <c r="I41" s="100">
        <v>81869797</v>
      </c>
      <c r="J41" s="100">
        <v>1244385069</v>
      </c>
      <c r="K41" s="100">
        <v>1326254866</v>
      </c>
      <c r="L41" s="96">
        <v>15730</v>
      </c>
      <c r="M41" s="100">
        <v>59320517</v>
      </c>
      <c r="N41" s="100">
        <v>1288850254</v>
      </c>
      <c r="O41" s="100">
        <v>1348170771</v>
      </c>
      <c r="P41" s="96">
        <v>16066</v>
      </c>
      <c r="Q41" s="100">
        <v>189554324</v>
      </c>
      <c r="R41" s="100">
        <v>1416571120</v>
      </c>
      <c r="S41" s="100">
        <v>1606125444</v>
      </c>
      <c r="T41" s="96">
        <v>16070</v>
      </c>
      <c r="U41" s="100">
        <v>120080823</v>
      </c>
      <c r="V41" s="100">
        <v>1556129488</v>
      </c>
      <c r="W41" s="100">
        <v>1676210311</v>
      </c>
      <c r="X41" s="96">
        <v>16071</v>
      </c>
    </row>
    <row r="42" spans="1:24" ht="15" customHeight="1">
      <c r="A42" s="86" t="s">
        <v>84</v>
      </c>
      <c r="B42" s="90" t="s">
        <v>78</v>
      </c>
      <c r="C42" s="77"/>
      <c r="D42" s="77"/>
      <c r="E42" s="101">
        <v>680211143</v>
      </c>
      <c r="F42" s="101">
        <v>1689619708</v>
      </c>
      <c r="G42" s="101">
        <v>2369830851</v>
      </c>
      <c r="H42" s="97">
        <v>39521</v>
      </c>
      <c r="I42" s="101">
        <v>304702108</v>
      </c>
      <c r="J42" s="101">
        <v>2495297205</v>
      </c>
      <c r="K42" s="101">
        <v>2799999313</v>
      </c>
      <c r="L42" s="97">
        <v>41812</v>
      </c>
      <c r="M42" s="101">
        <v>427078006</v>
      </c>
      <c r="N42" s="101">
        <v>2755905665</v>
      </c>
      <c r="O42" s="101">
        <v>3182983671</v>
      </c>
      <c r="P42" s="97">
        <v>43942</v>
      </c>
      <c r="Q42" s="101">
        <v>706791229</v>
      </c>
      <c r="R42" s="101">
        <v>3092482069</v>
      </c>
      <c r="S42" s="101">
        <v>3799273298</v>
      </c>
      <c r="T42" s="97">
        <v>43978</v>
      </c>
      <c r="U42" s="101">
        <v>1074847101</v>
      </c>
      <c r="V42" s="101">
        <v>3957152102</v>
      </c>
      <c r="W42" s="101">
        <v>5031999203</v>
      </c>
      <c r="X42" s="97">
        <v>43978</v>
      </c>
    </row>
    <row r="43" spans="1:24" ht="15" customHeight="1">
      <c r="A43" s="85" t="s">
        <v>84</v>
      </c>
      <c r="B43" s="89" t="s">
        <v>79</v>
      </c>
      <c r="C43" s="76"/>
      <c r="D43" s="76"/>
      <c r="E43" s="100">
        <v>222750073</v>
      </c>
      <c r="F43" s="100">
        <v>529585832</v>
      </c>
      <c r="G43" s="100">
        <v>752335905</v>
      </c>
      <c r="H43" s="96">
        <v>11720</v>
      </c>
      <c r="I43" s="100">
        <v>42096317</v>
      </c>
      <c r="J43" s="100">
        <v>819085910</v>
      </c>
      <c r="K43" s="100">
        <v>861182227</v>
      </c>
      <c r="L43" s="96">
        <v>12049</v>
      </c>
      <c r="M43" s="100">
        <v>69344328</v>
      </c>
      <c r="N43" s="100">
        <v>874010962</v>
      </c>
      <c r="O43" s="100">
        <v>943355290</v>
      </c>
      <c r="P43" s="96">
        <v>12241</v>
      </c>
      <c r="Q43" s="100">
        <v>33283145</v>
      </c>
      <c r="R43" s="100">
        <v>893517493</v>
      </c>
      <c r="S43" s="100">
        <v>926800638</v>
      </c>
      <c r="T43" s="96">
        <v>12246</v>
      </c>
      <c r="U43" s="100">
        <v>160980074</v>
      </c>
      <c r="V43" s="100">
        <v>899024081</v>
      </c>
      <c r="W43" s="100">
        <v>1060004155</v>
      </c>
      <c r="X43" s="96">
        <v>12246</v>
      </c>
    </row>
    <row r="44" spans="1:24" ht="15" customHeight="1">
      <c r="A44" s="86" t="s">
        <v>84</v>
      </c>
      <c r="B44" s="90" t="s">
        <v>80</v>
      </c>
      <c r="C44" s="77"/>
      <c r="D44" s="77"/>
      <c r="E44" s="101">
        <v>303098091</v>
      </c>
      <c r="F44" s="101">
        <v>840687745</v>
      </c>
      <c r="G44" s="101">
        <v>1143785836</v>
      </c>
      <c r="H44" s="97">
        <v>16266</v>
      </c>
      <c r="I44" s="101">
        <v>46952653</v>
      </c>
      <c r="J44" s="101">
        <v>1357175095</v>
      </c>
      <c r="K44" s="101">
        <v>1404127748</v>
      </c>
      <c r="L44" s="97">
        <v>16956</v>
      </c>
      <c r="M44" s="101">
        <v>25248241</v>
      </c>
      <c r="N44" s="101">
        <v>1387555189</v>
      </c>
      <c r="O44" s="101">
        <v>1412803430</v>
      </c>
      <c r="P44" s="97">
        <v>17328</v>
      </c>
      <c r="Q44" s="101">
        <v>28272450</v>
      </c>
      <c r="R44" s="101">
        <v>1409945458</v>
      </c>
      <c r="S44" s="101">
        <v>1438217908</v>
      </c>
      <c r="T44" s="97">
        <v>17334</v>
      </c>
      <c r="U44" s="101">
        <v>41554781</v>
      </c>
      <c r="V44" s="101">
        <v>1513385489</v>
      </c>
      <c r="W44" s="101">
        <v>1554940270</v>
      </c>
      <c r="X44" s="97">
        <v>17336</v>
      </c>
    </row>
    <row r="45" spans="1:24" ht="15" customHeight="1" thickBot="1">
      <c r="A45" s="85" t="s">
        <v>84</v>
      </c>
      <c r="B45" s="89" t="s">
        <v>81</v>
      </c>
      <c r="C45" s="76"/>
      <c r="D45" s="76"/>
      <c r="E45" s="100">
        <v>170197222</v>
      </c>
      <c r="F45" s="100">
        <v>129801513</v>
      </c>
      <c r="G45" s="100">
        <v>299998735</v>
      </c>
      <c r="H45" s="96">
        <v>2677</v>
      </c>
      <c r="I45" s="100">
        <v>56058303</v>
      </c>
      <c r="J45" s="100">
        <v>314507698</v>
      </c>
      <c r="K45" s="100">
        <v>370566001</v>
      </c>
      <c r="L45" s="96">
        <v>2768</v>
      </c>
      <c r="M45" s="100">
        <v>109765674</v>
      </c>
      <c r="N45" s="100">
        <v>350609644</v>
      </c>
      <c r="O45" s="100">
        <v>460375318</v>
      </c>
      <c r="P45" s="96">
        <v>2771</v>
      </c>
      <c r="Q45" s="100">
        <v>304463240</v>
      </c>
      <c r="R45" s="100">
        <v>448747136</v>
      </c>
      <c r="S45" s="100">
        <v>753210376</v>
      </c>
      <c r="T45" s="96">
        <v>2794</v>
      </c>
      <c r="U45" s="100">
        <v>312558535</v>
      </c>
      <c r="V45" s="100">
        <v>614483441</v>
      </c>
      <c r="W45" s="100">
        <v>927041976</v>
      </c>
      <c r="X45" s="96">
        <v>2794</v>
      </c>
    </row>
    <row r="46" spans="1:24" ht="15" customHeight="1">
      <c r="A46" s="83" t="s">
        <v>15</v>
      </c>
      <c r="B46" s="88" t="s">
        <v>5</v>
      </c>
      <c r="C46" s="75"/>
      <c r="D46" s="75"/>
      <c r="E46" s="99">
        <f>SUM(E47:E59)</f>
        <v>43306531642</v>
      </c>
      <c r="F46" s="99">
        <f t="shared" ref="F46:X46" si="14">SUM(F47:F59)</f>
        <v>91100061361</v>
      </c>
      <c r="G46" s="99">
        <f t="shared" si="14"/>
        <v>134406593003</v>
      </c>
      <c r="H46" s="95">
        <f t="shared" si="14"/>
        <v>1831261</v>
      </c>
      <c r="I46" s="99">
        <f t="shared" si="14"/>
        <v>19403549895</v>
      </c>
      <c r="J46" s="99">
        <f t="shared" si="14"/>
        <v>145341205405</v>
      </c>
      <c r="K46" s="99">
        <f t="shared" si="14"/>
        <v>164744755300</v>
      </c>
      <c r="L46" s="95">
        <f t="shared" si="14"/>
        <v>1932600</v>
      </c>
      <c r="M46" s="99">
        <f t="shared" si="14"/>
        <v>24701651636</v>
      </c>
      <c r="N46" s="99">
        <f t="shared" si="14"/>
        <v>157231761018</v>
      </c>
      <c r="O46" s="99">
        <f t="shared" si="14"/>
        <v>181933412654</v>
      </c>
      <c r="P46" s="95">
        <f t="shared" si="14"/>
        <v>2011591</v>
      </c>
      <c r="Q46" s="99">
        <f t="shared" si="14"/>
        <v>44063038756</v>
      </c>
      <c r="R46" s="99">
        <f t="shared" si="14"/>
        <v>180563423811</v>
      </c>
      <c r="S46" s="99">
        <f t="shared" si="14"/>
        <v>224626462567</v>
      </c>
      <c r="T46" s="95">
        <f t="shared" si="14"/>
        <v>2013405</v>
      </c>
      <c r="U46" s="99">
        <f t="shared" si="14"/>
        <v>61600578408</v>
      </c>
      <c r="V46" s="99">
        <f t="shared" si="14"/>
        <v>231662956841</v>
      </c>
      <c r="W46" s="99">
        <f t="shared" si="14"/>
        <v>293259918660</v>
      </c>
      <c r="X46" s="95">
        <f t="shared" si="14"/>
        <v>2014139</v>
      </c>
    </row>
    <row r="47" spans="1:24" ht="15" customHeight="1">
      <c r="A47" s="85" t="s">
        <v>15</v>
      </c>
      <c r="B47" s="89" t="s">
        <v>21</v>
      </c>
      <c r="C47" s="76">
        <v>0</v>
      </c>
      <c r="D47" s="76"/>
      <c r="E47" s="100">
        <v>26407336639</v>
      </c>
      <c r="F47" s="100">
        <v>58173976522</v>
      </c>
      <c r="G47" s="100">
        <v>84581313161</v>
      </c>
      <c r="H47" s="96">
        <v>1191593</v>
      </c>
      <c r="I47" s="100">
        <v>11961693910</v>
      </c>
      <c r="J47" s="100">
        <v>91848333132</v>
      </c>
      <c r="K47" s="100">
        <v>103810027042</v>
      </c>
      <c r="L47" s="96">
        <v>1252814</v>
      </c>
      <c r="M47" s="100">
        <v>14756027293</v>
      </c>
      <c r="N47" s="100">
        <v>99006990074</v>
      </c>
      <c r="O47" s="100">
        <v>113763017367</v>
      </c>
      <c r="P47" s="96">
        <v>1298158</v>
      </c>
      <c r="Q47" s="100">
        <v>27482763926</v>
      </c>
      <c r="R47" s="100">
        <v>113349603291</v>
      </c>
      <c r="S47" s="100">
        <v>140832367217</v>
      </c>
      <c r="T47" s="96">
        <v>1299189</v>
      </c>
      <c r="U47" s="100">
        <v>36960241927</v>
      </c>
      <c r="V47" s="100">
        <v>145989344380</v>
      </c>
      <c r="W47" s="100">
        <v>182945969718</v>
      </c>
      <c r="X47" s="96">
        <v>1299637</v>
      </c>
    </row>
    <row r="48" spans="1:24" ht="15" customHeight="1">
      <c r="A48" s="86" t="s">
        <v>15</v>
      </c>
      <c r="B48" s="90" t="s">
        <v>22</v>
      </c>
      <c r="C48" s="77">
        <v>1</v>
      </c>
      <c r="D48" s="77"/>
      <c r="E48" s="101">
        <v>7909921556</v>
      </c>
      <c r="F48" s="101">
        <v>16134193829</v>
      </c>
      <c r="G48" s="101">
        <v>24044115385</v>
      </c>
      <c r="H48" s="97">
        <v>314780</v>
      </c>
      <c r="I48" s="101">
        <v>3301792471</v>
      </c>
      <c r="J48" s="101">
        <v>25527581123</v>
      </c>
      <c r="K48" s="101">
        <v>28829373594</v>
      </c>
      <c r="L48" s="97">
        <v>334331</v>
      </c>
      <c r="M48" s="101">
        <v>4317861482</v>
      </c>
      <c r="N48" s="101">
        <v>27605673748</v>
      </c>
      <c r="O48" s="101">
        <v>31923535230</v>
      </c>
      <c r="P48" s="97">
        <v>347126</v>
      </c>
      <c r="Q48" s="101">
        <v>6941131899</v>
      </c>
      <c r="R48" s="101">
        <v>31578674993</v>
      </c>
      <c r="S48" s="101">
        <v>38519806892</v>
      </c>
      <c r="T48" s="97">
        <v>347411</v>
      </c>
      <c r="U48" s="101">
        <v>10083987676</v>
      </c>
      <c r="V48" s="101">
        <v>39208253967</v>
      </c>
      <c r="W48" s="101">
        <v>49292241643</v>
      </c>
      <c r="X48" s="97">
        <v>347553</v>
      </c>
    </row>
    <row r="49" spans="1:105" ht="15" customHeight="1">
      <c r="A49" s="85" t="s">
        <v>15</v>
      </c>
      <c r="B49" s="89" t="s">
        <v>23</v>
      </c>
      <c r="C49" s="76">
        <v>3</v>
      </c>
      <c r="D49" s="76"/>
      <c r="E49" s="100">
        <v>4251065277</v>
      </c>
      <c r="F49" s="100">
        <v>9219264032</v>
      </c>
      <c r="G49" s="100">
        <v>13470329309</v>
      </c>
      <c r="H49" s="96">
        <v>183309</v>
      </c>
      <c r="I49" s="100">
        <v>1660497557</v>
      </c>
      <c r="J49" s="100">
        <v>14909022805</v>
      </c>
      <c r="K49" s="100">
        <v>16569520362</v>
      </c>
      <c r="L49" s="96">
        <v>195530</v>
      </c>
      <c r="M49" s="100">
        <v>2021074700</v>
      </c>
      <c r="N49" s="100">
        <v>16045795350</v>
      </c>
      <c r="O49" s="100">
        <v>18066870050</v>
      </c>
      <c r="P49" s="96">
        <v>205575</v>
      </c>
      <c r="Q49" s="100">
        <v>3965862730</v>
      </c>
      <c r="R49" s="100">
        <v>18296910814</v>
      </c>
      <c r="S49" s="100">
        <v>22262773544</v>
      </c>
      <c r="T49" s="96">
        <v>205781</v>
      </c>
      <c r="U49" s="100">
        <v>5090104701</v>
      </c>
      <c r="V49" s="100">
        <v>22734252878</v>
      </c>
      <c r="W49" s="100">
        <v>27824357579</v>
      </c>
      <c r="X49" s="96">
        <v>205866</v>
      </c>
    </row>
    <row r="50" spans="1:105" ht="15" customHeight="1">
      <c r="A50" s="86" t="s">
        <v>15</v>
      </c>
      <c r="B50" s="90" t="s">
        <v>24</v>
      </c>
      <c r="C50" s="77">
        <v>6</v>
      </c>
      <c r="D50" s="77"/>
      <c r="E50" s="101">
        <v>3028923319</v>
      </c>
      <c r="F50" s="101">
        <v>4712455509</v>
      </c>
      <c r="G50" s="101">
        <v>7741378828</v>
      </c>
      <c r="H50" s="97">
        <v>79587</v>
      </c>
      <c r="I50" s="101">
        <v>1600410273</v>
      </c>
      <c r="J50" s="101">
        <v>8695795406</v>
      </c>
      <c r="K50" s="101">
        <v>10296205679</v>
      </c>
      <c r="L50" s="97">
        <v>84898</v>
      </c>
      <c r="M50" s="101">
        <v>2751856395</v>
      </c>
      <c r="N50" s="101">
        <v>9942047205</v>
      </c>
      <c r="O50" s="101">
        <v>12693903600</v>
      </c>
      <c r="P50" s="97">
        <v>89886</v>
      </c>
      <c r="Q50" s="101">
        <v>4125394976</v>
      </c>
      <c r="R50" s="101">
        <v>12279275361</v>
      </c>
      <c r="S50" s="101">
        <v>16404670337</v>
      </c>
      <c r="T50" s="97">
        <v>90045</v>
      </c>
      <c r="U50" s="101">
        <v>7051826190</v>
      </c>
      <c r="V50" s="101">
        <v>16985266839</v>
      </c>
      <c r="W50" s="101">
        <v>24037093029</v>
      </c>
      <c r="X50" s="97">
        <v>90086</v>
      </c>
    </row>
    <row r="51" spans="1:105" ht="15" customHeight="1">
      <c r="A51" s="85" t="s">
        <v>15</v>
      </c>
      <c r="B51" s="89" t="s">
        <v>25</v>
      </c>
      <c r="C51" s="76">
        <v>7</v>
      </c>
      <c r="D51" s="76"/>
      <c r="E51" s="100">
        <v>584268983</v>
      </c>
      <c r="F51" s="100">
        <v>1093093339</v>
      </c>
      <c r="G51" s="100">
        <v>1677362322</v>
      </c>
      <c r="H51" s="96">
        <v>28984</v>
      </c>
      <c r="I51" s="100">
        <v>358990003</v>
      </c>
      <c r="J51" s="100">
        <v>1569035732</v>
      </c>
      <c r="K51" s="100">
        <v>1928025735</v>
      </c>
      <c r="L51" s="96">
        <v>29568</v>
      </c>
      <c r="M51" s="100">
        <v>388802787</v>
      </c>
      <c r="N51" s="100">
        <v>1639314590</v>
      </c>
      <c r="O51" s="100">
        <v>2028117377</v>
      </c>
      <c r="P51" s="96">
        <v>29638</v>
      </c>
      <c r="Q51" s="100">
        <v>879533997</v>
      </c>
      <c r="R51" s="100">
        <v>1804040178</v>
      </c>
      <c r="S51" s="100">
        <v>2683574175</v>
      </c>
      <c r="T51" s="96">
        <v>29695</v>
      </c>
      <c r="U51" s="100">
        <v>937063660</v>
      </c>
      <c r="V51" s="100">
        <v>2473702186</v>
      </c>
      <c r="W51" s="100">
        <v>3410765846</v>
      </c>
      <c r="X51" s="96">
        <v>29697</v>
      </c>
    </row>
    <row r="52" spans="1:105" ht="15" customHeight="1">
      <c r="A52" s="86" t="s">
        <v>15</v>
      </c>
      <c r="B52" s="90" t="s">
        <v>28</v>
      </c>
      <c r="C52" s="77">
        <v>8</v>
      </c>
      <c r="D52" s="77"/>
      <c r="E52" s="101">
        <v>16616729</v>
      </c>
      <c r="F52" s="101">
        <v>17042245</v>
      </c>
      <c r="G52" s="101">
        <v>33658974</v>
      </c>
      <c r="H52" s="97">
        <v>1344</v>
      </c>
      <c r="I52" s="101">
        <v>6685956</v>
      </c>
      <c r="J52" s="101">
        <v>25705592</v>
      </c>
      <c r="K52" s="101">
        <v>32391548</v>
      </c>
      <c r="L52" s="97">
        <v>1423</v>
      </c>
      <c r="M52" s="101">
        <v>3290310</v>
      </c>
      <c r="N52" s="101">
        <v>25918124</v>
      </c>
      <c r="O52" s="101">
        <v>29208434</v>
      </c>
      <c r="P52" s="97">
        <v>1626</v>
      </c>
      <c r="Q52" s="101">
        <v>2257005</v>
      </c>
      <c r="R52" s="101">
        <v>26637904</v>
      </c>
      <c r="S52" s="101">
        <v>28894909</v>
      </c>
      <c r="T52" s="97">
        <v>1630</v>
      </c>
      <c r="U52" s="101">
        <v>16922644</v>
      </c>
      <c r="V52" s="101">
        <v>30066250</v>
      </c>
      <c r="W52" s="101">
        <v>46988894</v>
      </c>
      <c r="X52" s="97">
        <v>1632</v>
      </c>
    </row>
    <row r="53" spans="1:105" ht="15" customHeight="1">
      <c r="A53" s="85" t="s">
        <v>15</v>
      </c>
      <c r="B53" s="89" t="s">
        <v>26</v>
      </c>
      <c r="C53" s="76">
        <v>9</v>
      </c>
      <c r="D53" s="76"/>
      <c r="E53" s="100">
        <v>427216589</v>
      </c>
      <c r="F53" s="100">
        <v>756261361</v>
      </c>
      <c r="G53" s="100">
        <v>1183477950</v>
      </c>
      <c r="H53" s="96">
        <v>2958</v>
      </c>
      <c r="I53" s="100">
        <v>71728766</v>
      </c>
      <c r="J53" s="100">
        <v>1148639404</v>
      </c>
      <c r="K53" s="100">
        <v>1220368170</v>
      </c>
      <c r="L53" s="96">
        <v>3078</v>
      </c>
      <c r="M53" s="100">
        <v>34697367</v>
      </c>
      <c r="N53" s="100">
        <v>1176577560</v>
      </c>
      <c r="O53" s="100">
        <v>1211274927</v>
      </c>
      <c r="P53" s="96">
        <v>3132</v>
      </c>
      <c r="Q53" s="100">
        <v>42237785</v>
      </c>
      <c r="R53" s="100">
        <v>1185515285</v>
      </c>
      <c r="S53" s="100">
        <v>1227753070</v>
      </c>
      <c r="T53" s="96">
        <v>3136</v>
      </c>
      <c r="U53" s="100">
        <v>183215595</v>
      </c>
      <c r="V53" s="100">
        <v>1302759528</v>
      </c>
      <c r="W53" s="100">
        <v>1485975123</v>
      </c>
      <c r="X53" s="96">
        <v>3136</v>
      </c>
    </row>
    <row r="54" spans="1:105" ht="15" customHeight="1">
      <c r="A54" s="86" t="s">
        <v>15</v>
      </c>
      <c r="B54" s="90" t="s">
        <v>27</v>
      </c>
      <c r="C54" s="77">
        <v>10</v>
      </c>
      <c r="D54" s="77"/>
      <c r="E54" s="101">
        <v>334442936</v>
      </c>
      <c r="F54" s="101">
        <v>547737568</v>
      </c>
      <c r="G54" s="101">
        <v>882180504</v>
      </c>
      <c r="H54" s="97">
        <v>14657</v>
      </c>
      <c r="I54" s="101">
        <v>121575366</v>
      </c>
      <c r="J54" s="101">
        <v>880599146</v>
      </c>
      <c r="K54" s="101">
        <v>1002174512</v>
      </c>
      <c r="L54" s="97">
        <v>15628</v>
      </c>
      <c r="M54" s="101">
        <v>142279448</v>
      </c>
      <c r="N54" s="101">
        <v>944678800</v>
      </c>
      <c r="O54" s="101">
        <v>1086958248</v>
      </c>
      <c r="P54" s="97">
        <v>16630</v>
      </c>
      <c r="Q54" s="101">
        <v>188412925</v>
      </c>
      <c r="R54" s="101">
        <v>1027462467</v>
      </c>
      <c r="S54" s="101">
        <v>1215875392</v>
      </c>
      <c r="T54" s="97">
        <v>16652</v>
      </c>
      <c r="U54" s="101">
        <v>305188576</v>
      </c>
      <c r="V54" s="101">
        <v>1350784840</v>
      </c>
      <c r="W54" s="101">
        <v>1655973416</v>
      </c>
      <c r="X54" s="97">
        <v>16659</v>
      </c>
    </row>
    <row r="55" spans="1:105" ht="15" customHeight="1">
      <c r="A55" s="85" t="s">
        <v>15</v>
      </c>
      <c r="B55" s="89" t="s">
        <v>29</v>
      </c>
      <c r="C55" s="76">
        <v>20</v>
      </c>
      <c r="D55" s="76"/>
      <c r="E55" s="100">
        <v>68950791</v>
      </c>
      <c r="F55" s="100">
        <v>111178240</v>
      </c>
      <c r="G55" s="100">
        <v>180129031</v>
      </c>
      <c r="H55" s="96">
        <v>5409</v>
      </c>
      <c r="I55" s="100">
        <v>146463784</v>
      </c>
      <c r="J55" s="100">
        <v>172854606</v>
      </c>
      <c r="K55" s="100">
        <v>319318390</v>
      </c>
      <c r="L55" s="96">
        <v>6067</v>
      </c>
      <c r="M55" s="100">
        <v>95436111</v>
      </c>
      <c r="N55" s="100">
        <v>178522470</v>
      </c>
      <c r="O55" s="100">
        <v>273958581</v>
      </c>
      <c r="P55" s="96">
        <v>8877</v>
      </c>
      <c r="Q55" s="100">
        <v>173477004</v>
      </c>
      <c r="R55" s="100">
        <v>184394324</v>
      </c>
      <c r="S55" s="100">
        <v>357871328</v>
      </c>
      <c r="T55" s="96">
        <v>8903</v>
      </c>
      <c r="U55" s="100">
        <v>499551471</v>
      </c>
      <c r="V55" s="100">
        <v>337652740</v>
      </c>
      <c r="W55" s="100">
        <v>837204211</v>
      </c>
      <c r="X55" s="96">
        <v>8908</v>
      </c>
    </row>
    <row r="56" spans="1:105" ht="15" customHeight="1">
      <c r="A56" s="86" t="s">
        <v>15</v>
      </c>
      <c r="B56" s="90" t="s">
        <v>30</v>
      </c>
      <c r="C56" s="77">
        <v>21</v>
      </c>
      <c r="D56" s="77"/>
      <c r="E56" s="101">
        <v>101519277</v>
      </c>
      <c r="F56" s="101">
        <v>112500319</v>
      </c>
      <c r="G56" s="101">
        <v>214019596</v>
      </c>
      <c r="H56" s="97">
        <v>3468</v>
      </c>
      <c r="I56" s="101">
        <v>68520513</v>
      </c>
      <c r="J56" s="101">
        <v>210706718</v>
      </c>
      <c r="K56" s="101">
        <v>279227231</v>
      </c>
      <c r="L56" s="97">
        <v>3698</v>
      </c>
      <c r="M56" s="101">
        <v>109513328</v>
      </c>
      <c r="N56" s="101">
        <v>252733586</v>
      </c>
      <c r="O56" s="101">
        <v>362246914</v>
      </c>
      <c r="P56" s="97">
        <v>4635</v>
      </c>
      <c r="Q56" s="101">
        <v>126101306</v>
      </c>
      <c r="R56" s="101">
        <v>301398713</v>
      </c>
      <c r="S56" s="101">
        <v>427500019</v>
      </c>
      <c r="T56" s="97">
        <v>4644</v>
      </c>
      <c r="U56" s="101">
        <v>292687985</v>
      </c>
      <c r="V56" s="101">
        <v>502405680</v>
      </c>
      <c r="W56" s="101">
        <v>795093665</v>
      </c>
      <c r="X56" s="97">
        <v>4646</v>
      </c>
    </row>
    <row r="57" spans="1:105" ht="15" customHeight="1">
      <c r="A57" s="85" t="s">
        <v>15</v>
      </c>
      <c r="B57" s="89" t="s">
        <v>16</v>
      </c>
      <c r="C57" s="76" t="s">
        <v>16</v>
      </c>
      <c r="D57" s="76"/>
      <c r="E57" s="100">
        <v>30280072</v>
      </c>
      <c r="F57" s="100">
        <v>30263165</v>
      </c>
      <c r="G57" s="100">
        <v>60543237</v>
      </c>
      <c r="H57" s="96">
        <v>1225</v>
      </c>
      <c r="I57" s="100">
        <v>47657934</v>
      </c>
      <c r="J57" s="100">
        <v>50553343</v>
      </c>
      <c r="K57" s="100">
        <v>98211277</v>
      </c>
      <c r="L57" s="96">
        <v>1407</v>
      </c>
      <c r="M57" s="100">
        <v>11168662</v>
      </c>
      <c r="N57" s="100">
        <v>57056168</v>
      </c>
      <c r="O57" s="100">
        <v>68224830</v>
      </c>
      <c r="P57" s="96">
        <v>1963</v>
      </c>
      <c r="Q57" s="100">
        <v>36662555</v>
      </c>
      <c r="R57" s="100">
        <v>57200888</v>
      </c>
      <c r="S57" s="100">
        <v>93863443</v>
      </c>
      <c r="T57" s="96">
        <v>1972</v>
      </c>
      <c r="U57" s="100">
        <v>47851788</v>
      </c>
      <c r="V57" s="100">
        <v>73880792</v>
      </c>
      <c r="W57" s="100">
        <v>121732580</v>
      </c>
      <c r="X57" s="96">
        <v>1972</v>
      </c>
    </row>
    <row r="58" spans="1:105" ht="15" customHeight="1">
      <c r="A58" s="86" t="s">
        <v>15</v>
      </c>
      <c r="B58" s="90" t="s">
        <v>17</v>
      </c>
      <c r="C58" s="77" t="s">
        <v>17</v>
      </c>
      <c r="D58" s="77"/>
      <c r="E58" s="101">
        <v>128413662</v>
      </c>
      <c r="F58" s="101">
        <v>171672123</v>
      </c>
      <c r="G58" s="101">
        <v>300085785</v>
      </c>
      <c r="H58" s="97">
        <v>3264</v>
      </c>
      <c r="I58" s="101">
        <v>47436695</v>
      </c>
      <c r="J58" s="101">
        <v>263990480</v>
      </c>
      <c r="K58" s="101">
        <v>311427175</v>
      </c>
      <c r="L58" s="97">
        <v>3406</v>
      </c>
      <c r="M58" s="101">
        <v>64708441</v>
      </c>
      <c r="N58" s="101">
        <v>302970648</v>
      </c>
      <c r="O58" s="101">
        <v>367679089</v>
      </c>
      <c r="P58" s="97">
        <v>3511</v>
      </c>
      <c r="Q58" s="101">
        <v>90740163</v>
      </c>
      <c r="R58" s="101">
        <v>376329914</v>
      </c>
      <c r="S58" s="101">
        <v>467070077</v>
      </c>
      <c r="T58" s="97">
        <v>3511</v>
      </c>
      <c r="U58" s="101">
        <v>116986580</v>
      </c>
      <c r="V58" s="101">
        <v>549591139</v>
      </c>
      <c r="W58" s="101">
        <v>666577719</v>
      </c>
      <c r="X58" s="97">
        <v>3511</v>
      </c>
    </row>
    <row r="59" spans="1:105" ht="15" customHeight="1" thickBot="1">
      <c r="A59" s="85" t="s">
        <v>15</v>
      </c>
      <c r="B59" s="89" t="s">
        <v>18</v>
      </c>
      <c r="C59" s="76" t="s">
        <v>18</v>
      </c>
      <c r="D59" s="76"/>
      <c r="E59" s="100">
        <v>17575812</v>
      </c>
      <c r="F59" s="100">
        <v>20423109</v>
      </c>
      <c r="G59" s="100">
        <v>37998921</v>
      </c>
      <c r="H59" s="96">
        <v>683</v>
      </c>
      <c r="I59" s="100">
        <v>10096667</v>
      </c>
      <c r="J59" s="100">
        <v>38387918</v>
      </c>
      <c r="K59" s="100">
        <v>48484585</v>
      </c>
      <c r="L59" s="96">
        <v>752</v>
      </c>
      <c r="M59" s="100">
        <v>4935312</v>
      </c>
      <c r="N59" s="100">
        <v>53482695</v>
      </c>
      <c r="O59" s="100">
        <v>58418007</v>
      </c>
      <c r="P59" s="96">
        <v>834</v>
      </c>
      <c r="Q59" s="100">
        <v>8462485</v>
      </c>
      <c r="R59" s="100">
        <v>95979679</v>
      </c>
      <c r="S59" s="100">
        <v>104442164</v>
      </c>
      <c r="T59" s="96">
        <v>836</v>
      </c>
      <c r="U59" s="100">
        <v>14949615</v>
      </c>
      <c r="V59" s="100">
        <v>124995622</v>
      </c>
      <c r="W59" s="100">
        <v>139945237</v>
      </c>
      <c r="X59" s="96">
        <v>836</v>
      </c>
    </row>
    <row r="60" spans="1:105">
      <c r="A60" s="83" t="s">
        <v>56</v>
      </c>
      <c r="B60" s="88" t="s">
        <v>5</v>
      </c>
      <c r="C60" s="75"/>
      <c r="D60" s="75"/>
      <c r="E60" s="99">
        <f>SUM(E61:E177)</f>
        <v>43306531642</v>
      </c>
      <c r="F60" s="99">
        <f t="shared" ref="F60:X60" si="15">SUM(F61:F177)</f>
        <v>91100061361</v>
      </c>
      <c r="G60" s="99">
        <f t="shared" si="15"/>
        <v>134406593003</v>
      </c>
      <c r="H60" s="95">
        <f t="shared" si="15"/>
        <v>2392222</v>
      </c>
      <c r="I60" s="99">
        <f t="shared" si="15"/>
        <v>19403549895</v>
      </c>
      <c r="J60" s="99">
        <f t="shared" si="15"/>
        <v>145341205405</v>
      </c>
      <c r="K60" s="99">
        <f t="shared" si="15"/>
        <v>164744755300</v>
      </c>
      <c r="L60" s="95">
        <f t="shared" si="15"/>
        <v>2526458</v>
      </c>
      <c r="M60" s="99">
        <f t="shared" si="15"/>
        <v>24701651636</v>
      </c>
      <c r="N60" s="99">
        <f t="shared" si="15"/>
        <v>157231761018</v>
      </c>
      <c r="O60" s="99">
        <f t="shared" si="15"/>
        <v>181933412654</v>
      </c>
      <c r="P60" s="95">
        <f t="shared" si="15"/>
        <v>2620208</v>
      </c>
      <c r="Q60" s="99">
        <f t="shared" si="15"/>
        <v>44063038756</v>
      </c>
      <c r="R60" s="99">
        <f t="shared" si="15"/>
        <v>180563423811</v>
      </c>
      <c r="S60" s="99">
        <f t="shared" si="15"/>
        <v>224626462567</v>
      </c>
      <c r="T60" s="95">
        <f t="shared" si="15"/>
        <v>2623379</v>
      </c>
      <c r="U60" s="99">
        <f t="shared" si="15"/>
        <v>61600578408</v>
      </c>
      <c r="V60" s="99">
        <f t="shared" si="15"/>
        <v>231662956841</v>
      </c>
      <c r="W60" s="99">
        <f t="shared" si="15"/>
        <v>293259918660</v>
      </c>
      <c r="X60" s="95">
        <f t="shared" si="15"/>
        <v>2624980</v>
      </c>
    </row>
    <row r="61" spans="1:105">
      <c r="A61" s="85" t="s">
        <v>56</v>
      </c>
      <c r="B61" s="89"/>
      <c r="C61" s="76">
        <v>0</v>
      </c>
      <c r="D61" s="76">
        <v>1</v>
      </c>
      <c r="E61" s="100">
        <v>292051153</v>
      </c>
      <c r="F61" s="100">
        <v>169744908</v>
      </c>
      <c r="G61" s="100">
        <v>461796061</v>
      </c>
      <c r="H61" s="96">
        <v>8737</v>
      </c>
      <c r="I61" s="100">
        <v>425765928</v>
      </c>
      <c r="J61" s="100">
        <v>446348800</v>
      </c>
      <c r="K61" s="100">
        <v>872114728</v>
      </c>
      <c r="L61" s="96">
        <v>9730</v>
      </c>
      <c r="M61" s="100">
        <v>698316681</v>
      </c>
      <c r="N61" s="100">
        <v>643184885</v>
      </c>
      <c r="O61" s="100">
        <v>1341501566</v>
      </c>
      <c r="P61" s="96">
        <v>10566</v>
      </c>
      <c r="Q61" s="100">
        <v>1376395258</v>
      </c>
      <c r="R61" s="100">
        <v>935978314</v>
      </c>
      <c r="S61" s="100">
        <v>2312373572</v>
      </c>
      <c r="T61" s="96">
        <v>10604</v>
      </c>
      <c r="U61" s="100">
        <v>1766880758</v>
      </c>
      <c r="V61" s="100">
        <v>1802769686</v>
      </c>
      <c r="W61" s="100">
        <v>3569650444</v>
      </c>
      <c r="X61" s="96">
        <v>10615</v>
      </c>
    </row>
    <row r="62" spans="1:105">
      <c r="A62" s="86" t="s">
        <v>56</v>
      </c>
      <c r="B62" s="90"/>
      <c r="C62" s="77">
        <v>0</v>
      </c>
      <c r="D62" s="77">
        <v>2</v>
      </c>
      <c r="E62" s="101">
        <v>4788055502</v>
      </c>
      <c r="F62" s="101">
        <v>3530392671</v>
      </c>
      <c r="G62" s="101">
        <v>8318448173</v>
      </c>
      <c r="H62" s="97">
        <v>85589</v>
      </c>
      <c r="I62" s="101">
        <v>7027804975</v>
      </c>
      <c r="J62" s="101">
        <v>9651623848</v>
      </c>
      <c r="K62" s="101">
        <v>16679428823</v>
      </c>
      <c r="L62" s="97">
        <v>96285</v>
      </c>
      <c r="M62" s="101">
        <v>9766473163</v>
      </c>
      <c r="N62" s="101">
        <v>14433022996</v>
      </c>
      <c r="O62" s="101">
        <v>24199496159</v>
      </c>
      <c r="P62" s="97">
        <v>99120</v>
      </c>
      <c r="Q62" s="101">
        <v>21025616653</v>
      </c>
      <c r="R62" s="101">
        <v>25853778566</v>
      </c>
      <c r="S62" s="101">
        <v>46879395219</v>
      </c>
      <c r="T62" s="97">
        <v>99585</v>
      </c>
      <c r="U62" s="101">
        <v>30028271246</v>
      </c>
      <c r="V62" s="101">
        <v>52119120585</v>
      </c>
      <c r="W62" s="101">
        <v>82143775242</v>
      </c>
      <c r="X62" s="97">
        <v>99833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</row>
    <row r="63" spans="1:105">
      <c r="A63" s="85" t="s">
        <v>56</v>
      </c>
      <c r="B63" s="89"/>
      <c r="C63" s="76">
        <v>0</v>
      </c>
      <c r="D63" s="76">
        <v>3</v>
      </c>
      <c r="E63" s="100">
        <v>6493276983</v>
      </c>
      <c r="F63" s="100">
        <v>10632759715</v>
      </c>
      <c r="G63" s="100">
        <v>17126036698</v>
      </c>
      <c r="H63" s="96">
        <v>672827</v>
      </c>
      <c r="I63" s="100">
        <v>3370985210</v>
      </c>
      <c r="J63" s="100">
        <v>18304252180</v>
      </c>
      <c r="K63" s="100">
        <v>21675237390</v>
      </c>
      <c r="L63" s="96">
        <v>695523</v>
      </c>
      <c r="M63" s="100">
        <v>4001461149</v>
      </c>
      <c r="N63" s="100">
        <v>19650475405</v>
      </c>
      <c r="O63" s="100">
        <v>23651936554</v>
      </c>
      <c r="P63" s="96">
        <v>745413</v>
      </c>
      <c r="Q63" s="100">
        <v>4699343496</v>
      </c>
      <c r="R63" s="100">
        <v>21664505149</v>
      </c>
      <c r="S63" s="100">
        <v>26363848645</v>
      </c>
      <c r="T63" s="96">
        <v>746147</v>
      </c>
      <c r="U63" s="100">
        <v>4775249519</v>
      </c>
      <c r="V63" s="100">
        <v>25789002848</v>
      </c>
      <c r="W63" s="100">
        <v>30564252367</v>
      </c>
      <c r="X63" s="96">
        <v>746395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</row>
    <row r="64" spans="1:105">
      <c r="A64" s="86" t="s">
        <v>56</v>
      </c>
      <c r="B64" s="90"/>
      <c r="C64" s="77">
        <v>0</v>
      </c>
      <c r="D64" s="77">
        <v>4</v>
      </c>
      <c r="E64" s="101">
        <v>772913226</v>
      </c>
      <c r="F64" s="101">
        <v>5800109722</v>
      </c>
      <c r="G64" s="101">
        <v>6573022948</v>
      </c>
      <c r="H64" s="97">
        <v>143832</v>
      </c>
      <c r="I64" s="101">
        <v>32926602</v>
      </c>
      <c r="J64" s="101">
        <v>7220806498</v>
      </c>
      <c r="K64" s="101">
        <v>7253733100</v>
      </c>
      <c r="L64" s="97">
        <v>150351</v>
      </c>
      <c r="M64" s="101">
        <v>3070647</v>
      </c>
      <c r="N64" s="101">
        <v>7259270251</v>
      </c>
      <c r="O64" s="101">
        <v>7262340898</v>
      </c>
      <c r="P64" s="97">
        <v>150412</v>
      </c>
      <c r="Q64" s="101">
        <v>6857006</v>
      </c>
      <c r="R64" s="101">
        <v>7273729113</v>
      </c>
      <c r="S64" s="101">
        <v>7280586119</v>
      </c>
      <c r="T64" s="97">
        <v>150426</v>
      </c>
      <c r="U64" s="101">
        <v>4724618</v>
      </c>
      <c r="V64" s="101">
        <v>7283422166</v>
      </c>
      <c r="W64" s="101">
        <v>7288146784</v>
      </c>
      <c r="X64" s="97">
        <v>150431</v>
      </c>
    </row>
    <row r="65" spans="1:24">
      <c r="A65" s="85" t="s">
        <v>56</v>
      </c>
      <c r="B65" s="89"/>
      <c r="C65" s="76">
        <v>0</v>
      </c>
      <c r="D65" s="76">
        <v>5</v>
      </c>
      <c r="E65" s="100">
        <v>2435544089</v>
      </c>
      <c r="F65" s="100">
        <v>5943004554</v>
      </c>
      <c r="G65" s="100">
        <v>8378548643</v>
      </c>
      <c r="H65" s="96">
        <v>19661</v>
      </c>
      <c r="I65" s="100">
        <v>111509702</v>
      </c>
      <c r="J65" s="100">
        <v>9096660472</v>
      </c>
      <c r="K65" s="100">
        <v>9208170174</v>
      </c>
      <c r="L65" s="96">
        <v>20918</v>
      </c>
      <c r="M65" s="100">
        <v>52923766</v>
      </c>
      <c r="N65" s="100">
        <v>9229865203</v>
      </c>
      <c r="O65" s="100">
        <v>9282788969</v>
      </c>
      <c r="P65" s="96">
        <v>21075</v>
      </c>
      <c r="Q65" s="100">
        <v>72938114</v>
      </c>
      <c r="R65" s="100">
        <v>9332811864</v>
      </c>
      <c r="S65" s="100">
        <v>9405749978</v>
      </c>
      <c r="T65" s="96">
        <v>21495</v>
      </c>
      <c r="U65" s="100">
        <v>63001937</v>
      </c>
      <c r="V65" s="100">
        <v>10234308166</v>
      </c>
      <c r="W65" s="100">
        <v>10297310103</v>
      </c>
      <c r="X65" s="96">
        <v>21830</v>
      </c>
    </row>
    <row r="66" spans="1:24">
      <c r="A66" s="86" t="s">
        <v>56</v>
      </c>
      <c r="B66" s="90"/>
      <c r="C66" s="77">
        <v>0</v>
      </c>
      <c r="D66" s="77">
        <v>6</v>
      </c>
      <c r="E66" s="101">
        <v>59242259</v>
      </c>
      <c r="F66" s="101">
        <v>199748844</v>
      </c>
      <c r="G66" s="101">
        <v>258991103</v>
      </c>
      <c r="H66" s="97">
        <v>2650</v>
      </c>
      <c r="I66" s="101">
        <v>8400584</v>
      </c>
      <c r="J66" s="101">
        <v>280255821</v>
      </c>
      <c r="K66" s="101">
        <v>288656405</v>
      </c>
      <c r="L66" s="97">
        <v>2780</v>
      </c>
      <c r="M66" s="101">
        <v>217284</v>
      </c>
      <c r="N66" s="101">
        <v>284087658</v>
      </c>
      <c r="O66" s="101">
        <v>284304942</v>
      </c>
      <c r="P66" s="97">
        <v>2785</v>
      </c>
      <c r="Q66" s="101">
        <v>1354697</v>
      </c>
      <c r="R66" s="101">
        <v>286722438</v>
      </c>
      <c r="S66" s="101">
        <v>288077135</v>
      </c>
      <c r="T66" s="97">
        <v>2788</v>
      </c>
      <c r="U66" s="101">
        <v>0</v>
      </c>
      <c r="V66" s="101">
        <v>287364354</v>
      </c>
      <c r="W66" s="101">
        <v>287364354</v>
      </c>
      <c r="X66" s="97">
        <v>2788</v>
      </c>
    </row>
    <row r="67" spans="1:24">
      <c r="A67" s="85" t="s">
        <v>56</v>
      </c>
      <c r="B67" s="89"/>
      <c r="C67" s="76">
        <v>0</v>
      </c>
      <c r="D67" s="76">
        <v>7</v>
      </c>
      <c r="E67" s="100">
        <v>202708955</v>
      </c>
      <c r="F67" s="100">
        <v>724995001</v>
      </c>
      <c r="G67" s="100">
        <v>927703956</v>
      </c>
      <c r="H67" s="96">
        <v>1820</v>
      </c>
      <c r="I67" s="100">
        <v>16072325</v>
      </c>
      <c r="J67" s="100">
        <v>1100994155</v>
      </c>
      <c r="K67" s="100">
        <v>1117066480</v>
      </c>
      <c r="L67" s="96">
        <v>2022</v>
      </c>
      <c r="M67" s="100">
        <v>4687778</v>
      </c>
      <c r="N67" s="100">
        <v>1119924640</v>
      </c>
      <c r="O67" s="100">
        <v>1124612418</v>
      </c>
      <c r="P67" s="96">
        <v>2028</v>
      </c>
      <c r="Q67" s="100">
        <v>7687640</v>
      </c>
      <c r="R67" s="100">
        <v>1129204576</v>
      </c>
      <c r="S67" s="100">
        <v>1136892216</v>
      </c>
      <c r="T67" s="96">
        <v>2029</v>
      </c>
      <c r="U67" s="100">
        <v>13020314</v>
      </c>
      <c r="V67" s="100">
        <v>1145037538</v>
      </c>
      <c r="W67" s="100">
        <v>1158057852</v>
      </c>
      <c r="X67" s="96">
        <v>2030</v>
      </c>
    </row>
    <row r="68" spans="1:24">
      <c r="A68" s="86" t="s">
        <v>56</v>
      </c>
      <c r="B68" s="90"/>
      <c r="C68" s="77">
        <v>0</v>
      </c>
      <c r="D68" s="77">
        <v>8</v>
      </c>
      <c r="E68" s="101">
        <v>7902917961</v>
      </c>
      <c r="F68" s="101">
        <v>25220574575</v>
      </c>
      <c r="G68" s="101">
        <v>33123492536</v>
      </c>
      <c r="H68" s="97">
        <v>640695</v>
      </c>
      <c r="I68" s="101">
        <v>670263548</v>
      </c>
      <c r="J68" s="101">
        <v>35838448897</v>
      </c>
      <c r="K68" s="101">
        <v>36508712445</v>
      </c>
      <c r="L68" s="97">
        <v>679823</v>
      </c>
      <c r="M68" s="101">
        <v>123936518</v>
      </c>
      <c r="N68" s="101">
        <v>36197114965</v>
      </c>
      <c r="O68" s="101">
        <v>36321051483</v>
      </c>
      <c r="P68" s="97">
        <v>680497</v>
      </c>
      <c r="Q68" s="101">
        <v>139140694</v>
      </c>
      <c r="R68" s="101">
        <v>36447176376</v>
      </c>
      <c r="S68" s="101">
        <v>36586317070</v>
      </c>
      <c r="T68" s="97">
        <v>680633</v>
      </c>
      <c r="U68" s="101">
        <v>140387477</v>
      </c>
      <c r="V68" s="101">
        <v>36692281538</v>
      </c>
      <c r="W68" s="101">
        <v>36832669015</v>
      </c>
      <c r="X68" s="97">
        <v>680702</v>
      </c>
    </row>
    <row r="69" spans="1:24">
      <c r="A69" s="85" t="s">
        <v>56</v>
      </c>
      <c r="B69" s="89"/>
      <c r="C69" s="76">
        <v>0</v>
      </c>
      <c r="D69" s="76">
        <v>9</v>
      </c>
      <c r="E69" s="100">
        <v>3460626511</v>
      </c>
      <c r="F69" s="100">
        <v>5952646532</v>
      </c>
      <c r="G69" s="100">
        <v>9413273043</v>
      </c>
      <c r="H69" s="96">
        <v>17683</v>
      </c>
      <c r="I69" s="100">
        <v>297965036</v>
      </c>
      <c r="J69" s="100">
        <v>9908942461</v>
      </c>
      <c r="K69" s="100">
        <v>10206907497</v>
      </c>
      <c r="L69" s="96">
        <v>19598</v>
      </c>
      <c r="M69" s="100">
        <v>104940307</v>
      </c>
      <c r="N69" s="100">
        <v>10190044071</v>
      </c>
      <c r="O69" s="100">
        <v>10294984378</v>
      </c>
      <c r="P69" s="96">
        <v>19651</v>
      </c>
      <c r="Q69" s="100">
        <v>153430368</v>
      </c>
      <c r="R69" s="100">
        <v>10425696895</v>
      </c>
      <c r="S69" s="100">
        <v>10579127263</v>
      </c>
      <c r="T69" s="96">
        <v>19684</v>
      </c>
      <c r="U69" s="100">
        <v>168706058</v>
      </c>
      <c r="V69" s="100">
        <v>10636037499</v>
      </c>
      <c r="W69" s="100">
        <v>10804743557</v>
      </c>
      <c r="X69" s="96">
        <v>19696</v>
      </c>
    </row>
    <row r="70" spans="1:24">
      <c r="A70" s="86" t="s">
        <v>56</v>
      </c>
      <c r="B70" s="90"/>
      <c r="C70" s="77">
        <v>1</v>
      </c>
      <c r="D70" s="77">
        <v>1</v>
      </c>
      <c r="E70" s="101">
        <v>93719434</v>
      </c>
      <c r="F70" s="101">
        <v>45897435</v>
      </c>
      <c r="G70" s="101">
        <v>139616869</v>
      </c>
      <c r="H70" s="97">
        <v>2223</v>
      </c>
      <c r="I70" s="101">
        <v>141427727</v>
      </c>
      <c r="J70" s="101">
        <v>122342049</v>
      </c>
      <c r="K70" s="101">
        <v>263769776</v>
      </c>
      <c r="L70" s="97">
        <v>2538</v>
      </c>
      <c r="M70" s="101">
        <v>257955775</v>
      </c>
      <c r="N70" s="101">
        <v>151641286</v>
      </c>
      <c r="O70" s="101">
        <v>409597061</v>
      </c>
      <c r="P70" s="97">
        <v>2756</v>
      </c>
      <c r="Q70" s="101">
        <v>312521812</v>
      </c>
      <c r="R70" s="101">
        <v>244469487</v>
      </c>
      <c r="S70" s="101">
        <v>556991299</v>
      </c>
      <c r="T70" s="97">
        <v>2769</v>
      </c>
      <c r="U70" s="101">
        <v>417528834</v>
      </c>
      <c r="V70" s="101">
        <v>606737339</v>
      </c>
      <c r="W70" s="101">
        <v>1024266173</v>
      </c>
      <c r="X70" s="97">
        <v>2773</v>
      </c>
    </row>
    <row r="71" spans="1:24">
      <c r="A71" s="85" t="s">
        <v>56</v>
      </c>
      <c r="B71" s="89"/>
      <c r="C71" s="76">
        <v>1</v>
      </c>
      <c r="D71" s="76">
        <v>2</v>
      </c>
      <c r="E71" s="100">
        <v>1210218439</v>
      </c>
      <c r="F71" s="100">
        <v>862426806</v>
      </c>
      <c r="G71" s="100">
        <v>2072645245</v>
      </c>
      <c r="H71" s="96">
        <v>19914</v>
      </c>
      <c r="I71" s="100">
        <v>1854456874</v>
      </c>
      <c r="J71" s="100">
        <v>2276591426</v>
      </c>
      <c r="K71" s="100">
        <v>4131048300</v>
      </c>
      <c r="L71" s="96">
        <v>22556</v>
      </c>
      <c r="M71" s="100">
        <v>2793725480</v>
      </c>
      <c r="N71" s="100">
        <v>3520584303</v>
      </c>
      <c r="O71" s="100">
        <v>6314309783</v>
      </c>
      <c r="P71" s="96">
        <v>23446</v>
      </c>
      <c r="Q71" s="100">
        <v>5497563396</v>
      </c>
      <c r="R71" s="100">
        <v>6707469696</v>
      </c>
      <c r="S71" s="100">
        <v>12205033092</v>
      </c>
      <c r="T71" s="96">
        <v>23570</v>
      </c>
      <c r="U71" s="100">
        <v>7911870763</v>
      </c>
      <c r="V71" s="100">
        <v>12849709280</v>
      </c>
      <c r="W71" s="100">
        <v>20761580043</v>
      </c>
      <c r="X71" s="96">
        <v>23648</v>
      </c>
    </row>
    <row r="72" spans="1:24">
      <c r="A72" s="86" t="s">
        <v>56</v>
      </c>
      <c r="B72" s="90"/>
      <c r="C72" s="77">
        <v>1</v>
      </c>
      <c r="D72" s="77">
        <v>3</v>
      </c>
      <c r="E72" s="101">
        <v>1737587734</v>
      </c>
      <c r="F72" s="101">
        <v>3324158804</v>
      </c>
      <c r="G72" s="101">
        <v>5061746538</v>
      </c>
      <c r="H72" s="97">
        <v>165234</v>
      </c>
      <c r="I72" s="101">
        <v>830133121</v>
      </c>
      <c r="J72" s="101">
        <v>5581412894</v>
      </c>
      <c r="K72" s="101">
        <v>6411546015</v>
      </c>
      <c r="L72" s="97">
        <v>171717</v>
      </c>
      <c r="M72" s="101">
        <v>1173201784</v>
      </c>
      <c r="N72" s="101">
        <v>6042404519</v>
      </c>
      <c r="O72" s="101">
        <v>7215606303</v>
      </c>
      <c r="P72" s="97">
        <v>186123</v>
      </c>
      <c r="Q72" s="101">
        <v>1013889012</v>
      </c>
      <c r="R72" s="101">
        <v>6585984018</v>
      </c>
      <c r="S72" s="101">
        <v>7599873030</v>
      </c>
      <c r="T72" s="97">
        <v>186323</v>
      </c>
      <c r="U72" s="101">
        <v>1554078516</v>
      </c>
      <c r="V72" s="101">
        <v>7280706290</v>
      </c>
      <c r="W72" s="101">
        <v>8834784806</v>
      </c>
      <c r="X72" s="97">
        <v>186402</v>
      </c>
    </row>
    <row r="73" spans="1:24">
      <c r="A73" s="85" t="s">
        <v>56</v>
      </c>
      <c r="B73" s="89"/>
      <c r="C73" s="76">
        <v>1</v>
      </c>
      <c r="D73" s="76">
        <v>4</v>
      </c>
      <c r="E73" s="100">
        <v>253331877</v>
      </c>
      <c r="F73" s="100">
        <v>2050341484</v>
      </c>
      <c r="G73" s="100">
        <v>2303673361</v>
      </c>
      <c r="H73" s="96">
        <v>46520</v>
      </c>
      <c r="I73" s="100">
        <v>14293184</v>
      </c>
      <c r="J73" s="100">
        <v>2576355086</v>
      </c>
      <c r="K73" s="100">
        <v>2590648270</v>
      </c>
      <c r="L73" s="96">
        <v>48758</v>
      </c>
      <c r="M73" s="100">
        <v>1636228</v>
      </c>
      <c r="N73" s="100">
        <v>2585206546</v>
      </c>
      <c r="O73" s="100">
        <v>2586842774</v>
      </c>
      <c r="P73" s="96">
        <v>48768</v>
      </c>
      <c r="Q73" s="100">
        <v>2413881</v>
      </c>
      <c r="R73" s="100">
        <v>2591942724</v>
      </c>
      <c r="S73" s="100">
        <v>2594356605</v>
      </c>
      <c r="T73" s="96">
        <v>48773</v>
      </c>
      <c r="U73" s="100">
        <v>3455576</v>
      </c>
      <c r="V73" s="100">
        <v>2609554452</v>
      </c>
      <c r="W73" s="100">
        <v>2613010028</v>
      </c>
      <c r="X73" s="96">
        <v>48775</v>
      </c>
    </row>
    <row r="74" spans="1:24">
      <c r="A74" s="86" t="s">
        <v>56</v>
      </c>
      <c r="B74" s="90"/>
      <c r="C74" s="77">
        <v>1</v>
      </c>
      <c r="D74" s="77">
        <v>5</v>
      </c>
      <c r="E74" s="101">
        <v>829227275</v>
      </c>
      <c r="F74" s="101">
        <v>1784764236</v>
      </c>
      <c r="G74" s="101">
        <v>2613991511</v>
      </c>
      <c r="H74" s="97">
        <v>4084</v>
      </c>
      <c r="I74" s="101">
        <v>68098090</v>
      </c>
      <c r="J74" s="101">
        <v>2754220197</v>
      </c>
      <c r="K74" s="101">
        <v>2822318287</v>
      </c>
      <c r="L74" s="97">
        <v>4397</v>
      </c>
      <c r="M74" s="101">
        <v>14763558</v>
      </c>
      <c r="N74" s="101">
        <v>2822370212</v>
      </c>
      <c r="O74" s="101">
        <v>2837133770</v>
      </c>
      <c r="P74" s="97">
        <v>4445</v>
      </c>
      <c r="Q74" s="101">
        <v>21980982</v>
      </c>
      <c r="R74" s="101">
        <v>2851512284</v>
      </c>
      <c r="S74" s="101">
        <v>2873493266</v>
      </c>
      <c r="T74" s="97">
        <v>4557</v>
      </c>
      <c r="U74" s="101">
        <v>64202120</v>
      </c>
      <c r="V74" s="101">
        <v>3128586196</v>
      </c>
      <c r="W74" s="101">
        <v>3192788316</v>
      </c>
      <c r="X74" s="97">
        <v>4675</v>
      </c>
    </row>
    <row r="75" spans="1:24">
      <c r="A75" s="85" t="s">
        <v>56</v>
      </c>
      <c r="B75" s="89"/>
      <c r="C75" s="76">
        <v>1</v>
      </c>
      <c r="D75" s="76">
        <v>6</v>
      </c>
      <c r="E75" s="100">
        <v>21880270</v>
      </c>
      <c r="F75" s="100">
        <v>62329353</v>
      </c>
      <c r="G75" s="100">
        <v>84209623</v>
      </c>
      <c r="H75" s="96">
        <v>645</v>
      </c>
      <c r="I75" s="100">
        <v>2925614</v>
      </c>
      <c r="J75" s="100">
        <v>93416342</v>
      </c>
      <c r="K75" s="100">
        <v>96341956</v>
      </c>
      <c r="L75" s="96">
        <v>681</v>
      </c>
      <c r="M75" s="100">
        <v>1747380</v>
      </c>
      <c r="N75" s="100">
        <v>97939045</v>
      </c>
      <c r="O75" s="100">
        <v>99686425</v>
      </c>
      <c r="P75" s="96">
        <v>682</v>
      </c>
      <c r="Q75" s="100">
        <v>2181199</v>
      </c>
      <c r="R75" s="100">
        <v>98475935</v>
      </c>
      <c r="S75" s="100">
        <v>100657134</v>
      </c>
      <c r="T75" s="96">
        <v>682</v>
      </c>
      <c r="U75" s="100">
        <v>0</v>
      </c>
      <c r="V75" s="100">
        <v>99742435</v>
      </c>
      <c r="W75" s="100">
        <v>99742435</v>
      </c>
      <c r="X75" s="96">
        <v>682</v>
      </c>
    </row>
    <row r="76" spans="1:24">
      <c r="A76" s="86" t="s">
        <v>56</v>
      </c>
      <c r="B76" s="90"/>
      <c r="C76" s="77">
        <v>1</v>
      </c>
      <c r="D76" s="77">
        <v>7</v>
      </c>
      <c r="E76" s="101">
        <v>83468729</v>
      </c>
      <c r="F76" s="101">
        <v>203914280</v>
      </c>
      <c r="G76" s="101">
        <v>287383009</v>
      </c>
      <c r="H76" s="97">
        <v>400</v>
      </c>
      <c r="I76" s="101">
        <v>3748014</v>
      </c>
      <c r="J76" s="101">
        <v>362050163</v>
      </c>
      <c r="K76" s="101">
        <v>365798177</v>
      </c>
      <c r="L76" s="97">
        <v>461</v>
      </c>
      <c r="M76" s="101">
        <v>1534702</v>
      </c>
      <c r="N76" s="101">
        <v>363798844</v>
      </c>
      <c r="O76" s="101">
        <v>365333546</v>
      </c>
      <c r="P76" s="97">
        <v>461</v>
      </c>
      <c r="Q76" s="101">
        <v>1156300</v>
      </c>
      <c r="R76" s="101">
        <v>370183988</v>
      </c>
      <c r="S76" s="101">
        <v>371340288</v>
      </c>
      <c r="T76" s="97">
        <v>461</v>
      </c>
      <c r="U76" s="101">
        <v>4800</v>
      </c>
      <c r="V76" s="101">
        <v>370183988</v>
      </c>
      <c r="W76" s="101">
        <v>370188788</v>
      </c>
      <c r="X76" s="97">
        <v>461</v>
      </c>
    </row>
    <row r="77" spans="1:24">
      <c r="A77" s="85" t="s">
        <v>56</v>
      </c>
      <c r="B77" s="89"/>
      <c r="C77" s="76">
        <v>1</v>
      </c>
      <c r="D77" s="76">
        <v>8</v>
      </c>
      <c r="E77" s="100">
        <v>2413844772</v>
      </c>
      <c r="F77" s="100">
        <v>6362455684</v>
      </c>
      <c r="G77" s="100">
        <v>8776300456</v>
      </c>
      <c r="H77" s="96">
        <v>165574</v>
      </c>
      <c r="I77" s="100">
        <v>274341676</v>
      </c>
      <c r="J77" s="100">
        <v>9249739314</v>
      </c>
      <c r="K77" s="100">
        <v>9524080990</v>
      </c>
      <c r="L77" s="96">
        <v>178113</v>
      </c>
      <c r="M77" s="100">
        <v>39616946</v>
      </c>
      <c r="N77" s="100">
        <v>9370576070</v>
      </c>
      <c r="O77" s="100">
        <v>9410193016</v>
      </c>
      <c r="P77" s="96">
        <v>178328</v>
      </c>
      <c r="Q77" s="100">
        <v>48767901</v>
      </c>
      <c r="R77" s="100">
        <v>9443628010</v>
      </c>
      <c r="S77" s="100">
        <v>9492395911</v>
      </c>
      <c r="T77" s="96">
        <v>178377</v>
      </c>
      <c r="U77" s="100">
        <v>44953533</v>
      </c>
      <c r="V77" s="100">
        <v>9498514249</v>
      </c>
      <c r="W77" s="100">
        <v>9543467782</v>
      </c>
      <c r="X77" s="96">
        <v>178388</v>
      </c>
    </row>
    <row r="78" spans="1:24">
      <c r="A78" s="86" t="s">
        <v>56</v>
      </c>
      <c r="B78" s="90"/>
      <c r="C78" s="77">
        <v>1</v>
      </c>
      <c r="D78" s="77">
        <v>9</v>
      </c>
      <c r="E78" s="101">
        <v>1266643026</v>
      </c>
      <c r="F78" s="101">
        <v>1437905747</v>
      </c>
      <c r="G78" s="101">
        <v>2704548773</v>
      </c>
      <c r="H78" s="97">
        <v>3485</v>
      </c>
      <c r="I78" s="101">
        <v>112368171</v>
      </c>
      <c r="J78" s="101">
        <v>2511453652</v>
      </c>
      <c r="K78" s="101">
        <v>2623821823</v>
      </c>
      <c r="L78" s="97">
        <v>3942</v>
      </c>
      <c r="M78" s="101">
        <v>33679629</v>
      </c>
      <c r="N78" s="101">
        <v>2651152923</v>
      </c>
      <c r="O78" s="101">
        <v>2684832552</v>
      </c>
      <c r="P78" s="97">
        <v>3945</v>
      </c>
      <c r="Q78" s="101">
        <v>40657416</v>
      </c>
      <c r="R78" s="101">
        <v>2685008851</v>
      </c>
      <c r="S78" s="101">
        <v>2725666267</v>
      </c>
      <c r="T78" s="97">
        <v>3952</v>
      </c>
      <c r="U78" s="101">
        <v>87893534</v>
      </c>
      <c r="V78" s="101">
        <v>2764519738</v>
      </c>
      <c r="W78" s="101">
        <v>2852413272</v>
      </c>
      <c r="X78" s="97">
        <v>3958</v>
      </c>
    </row>
    <row r="79" spans="1:24">
      <c r="A79" s="85" t="s">
        <v>56</v>
      </c>
      <c r="B79" s="89"/>
      <c r="C79" s="76">
        <v>3</v>
      </c>
      <c r="D79" s="76">
        <v>1</v>
      </c>
      <c r="E79" s="100">
        <v>38680659</v>
      </c>
      <c r="F79" s="100">
        <v>23573342</v>
      </c>
      <c r="G79" s="100">
        <v>62254001</v>
      </c>
      <c r="H79" s="96">
        <v>990</v>
      </c>
      <c r="I79" s="100">
        <v>59406307</v>
      </c>
      <c r="J79" s="100">
        <v>57043205</v>
      </c>
      <c r="K79" s="100">
        <v>116449512</v>
      </c>
      <c r="L79" s="96">
        <v>1141</v>
      </c>
      <c r="M79" s="100">
        <v>77728194</v>
      </c>
      <c r="N79" s="100">
        <v>70561621</v>
      </c>
      <c r="O79" s="100">
        <v>148289815</v>
      </c>
      <c r="P79" s="96">
        <v>1262</v>
      </c>
      <c r="Q79" s="100">
        <v>149752919</v>
      </c>
      <c r="R79" s="100">
        <v>125908252</v>
      </c>
      <c r="S79" s="100">
        <v>275661171</v>
      </c>
      <c r="T79" s="96">
        <v>1265</v>
      </c>
      <c r="U79" s="100">
        <v>217489472</v>
      </c>
      <c r="V79" s="100">
        <v>144002920</v>
      </c>
      <c r="W79" s="100">
        <v>361492392</v>
      </c>
      <c r="X79" s="96">
        <v>1269</v>
      </c>
    </row>
    <row r="80" spans="1:24">
      <c r="A80" s="86" t="s">
        <v>56</v>
      </c>
      <c r="B80" s="90"/>
      <c r="C80" s="77">
        <v>3</v>
      </c>
      <c r="D80" s="77">
        <v>2</v>
      </c>
      <c r="E80" s="101">
        <v>890330761</v>
      </c>
      <c r="F80" s="101">
        <v>445063815</v>
      </c>
      <c r="G80" s="101">
        <v>1335394576</v>
      </c>
      <c r="H80" s="97">
        <v>10310</v>
      </c>
      <c r="I80" s="101">
        <v>1006422233</v>
      </c>
      <c r="J80" s="101">
        <v>1419292624</v>
      </c>
      <c r="K80" s="101">
        <v>2425714857</v>
      </c>
      <c r="L80" s="97">
        <v>11752</v>
      </c>
      <c r="M80" s="101">
        <v>1374497237</v>
      </c>
      <c r="N80" s="101">
        <v>2126149447</v>
      </c>
      <c r="O80" s="101">
        <v>3500646684</v>
      </c>
      <c r="P80" s="97">
        <v>12253</v>
      </c>
      <c r="Q80" s="101">
        <v>3135741446</v>
      </c>
      <c r="R80" s="101">
        <v>3810349969</v>
      </c>
      <c r="S80" s="101">
        <v>6946091415</v>
      </c>
      <c r="T80" s="97">
        <v>12345</v>
      </c>
      <c r="U80" s="101">
        <v>4171763138</v>
      </c>
      <c r="V80" s="101">
        <v>7163794520</v>
      </c>
      <c r="W80" s="101">
        <v>11335557658</v>
      </c>
      <c r="X80" s="97">
        <v>12393</v>
      </c>
    </row>
    <row r="81" spans="1:24">
      <c r="A81" s="85" t="s">
        <v>56</v>
      </c>
      <c r="B81" s="89"/>
      <c r="C81" s="76">
        <v>3</v>
      </c>
      <c r="D81" s="76">
        <v>3</v>
      </c>
      <c r="E81" s="100">
        <v>1025099003</v>
      </c>
      <c r="F81" s="100">
        <v>2196322937</v>
      </c>
      <c r="G81" s="100">
        <v>3221421940</v>
      </c>
      <c r="H81" s="96">
        <v>102686</v>
      </c>
      <c r="I81" s="100">
        <v>445114552</v>
      </c>
      <c r="J81" s="100">
        <v>3634292001</v>
      </c>
      <c r="K81" s="100">
        <v>4079406553</v>
      </c>
      <c r="L81" s="96">
        <v>107632</v>
      </c>
      <c r="M81" s="100">
        <v>454773405</v>
      </c>
      <c r="N81" s="100">
        <v>3857190624</v>
      </c>
      <c r="O81" s="100">
        <v>4311964029</v>
      </c>
      <c r="P81" s="96">
        <v>118404</v>
      </c>
      <c r="Q81" s="100">
        <v>539981706</v>
      </c>
      <c r="R81" s="100">
        <v>4106621954</v>
      </c>
      <c r="S81" s="100">
        <v>4646603660</v>
      </c>
      <c r="T81" s="96">
        <v>118556</v>
      </c>
      <c r="U81" s="100">
        <v>621002403</v>
      </c>
      <c r="V81" s="100">
        <v>4847834783</v>
      </c>
      <c r="W81" s="100">
        <v>5468837186</v>
      </c>
      <c r="X81" s="96">
        <v>118597</v>
      </c>
    </row>
    <row r="82" spans="1:24">
      <c r="A82" s="86" t="s">
        <v>56</v>
      </c>
      <c r="B82" s="90"/>
      <c r="C82" s="77">
        <v>3</v>
      </c>
      <c r="D82" s="77">
        <v>4</v>
      </c>
      <c r="E82" s="101">
        <v>130440079</v>
      </c>
      <c r="F82" s="101">
        <v>1234577325</v>
      </c>
      <c r="G82" s="101">
        <v>1365017404</v>
      </c>
      <c r="H82" s="97">
        <v>26131</v>
      </c>
      <c r="I82" s="101">
        <v>2359517</v>
      </c>
      <c r="J82" s="101">
        <v>1601711540</v>
      </c>
      <c r="K82" s="101">
        <v>1604071057</v>
      </c>
      <c r="L82" s="97">
        <v>27408</v>
      </c>
      <c r="M82" s="101">
        <v>771021</v>
      </c>
      <c r="N82" s="101">
        <v>1608522162</v>
      </c>
      <c r="O82" s="101">
        <v>1609293183</v>
      </c>
      <c r="P82" s="97">
        <v>27425</v>
      </c>
      <c r="Q82" s="101">
        <v>89274</v>
      </c>
      <c r="R82" s="101">
        <v>1611037395</v>
      </c>
      <c r="S82" s="101">
        <v>1611126669</v>
      </c>
      <c r="T82" s="97">
        <v>27431</v>
      </c>
      <c r="U82" s="101">
        <v>103581</v>
      </c>
      <c r="V82" s="101">
        <v>1612979556</v>
      </c>
      <c r="W82" s="101">
        <v>1613083137</v>
      </c>
      <c r="X82" s="97">
        <v>27433</v>
      </c>
    </row>
    <row r="83" spans="1:24">
      <c r="A83" s="85" t="s">
        <v>56</v>
      </c>
      <c r="B83" s="89"/>
      <c r="C83" s="76">
        <v>3</v>
      </c>
      <c r="D83" s="76">
        <v>5</v>
      </c>
      <c r="E83" s="100">
        <v>519037569</v>
      </c>
      <c r="F83" s="100">
        <v>1168684745</v>
      </c>
      <c r="G83" s="100">
        <v>1687722314</v>
      </c>
      <c r="H83" s="96">
        <v>1812</v>
      </c>
      <c r="I83" s="100">
        <v>25127052</v>
      </c>
      <c r="J83" s="100">
        <v>1872937602</v>
      </c>
      <c r="K83" s="100">
        <v>1898064654</v>
      </c>
      <c r="L83" s="96">
        <v>1989</v>
      </c>
      <c r="M83" s="100">
        <v>29944118</v>
      </c>
      <c r="N83" s="100">
        <v>1916847781</v>
      </c>
      <c r="O83" s="100">
        <v>1946791899</v>
      </c>
      <c r="P83" s="96">
        <v>2015</v>
      </c>
      <c r="Q83" s="100">
        <v>16975629</v>
      </c>
      <c r="R83" s="100">
        <v>2018131779</v>
      </c>
      <c r="S83" s="100">
        <v>2035107408</v>
      </c>
      <c r="T83" s="96">
        <v>2087</v>
      </c>
      <c r="U83" s="100">
        <v>27421610</v>
      </c>
      <c r="V83" s="100">
        <v>2245776250</v>
      </c>
      <c r="W83" s="100">
        <v>2273197860</v>
      </c>
      <c r="X83" s="96">
        <v>2174</v>
      </c>
    </row>
    <row r="84" spans="1:24">
      <c r="A84" s="86" t="s">
        <v>56</v>
      </c>
      <c r="B84" s="90"/>
      <c r="C84" s="77">
        <v>3</v>
      </c>
      <c r="D84" s="77">
        <v>6</v>
      </c>
      <c r="E84" s="101">
        <v>8914497</v>
      </c>
      <c r="F84" s="101">
        <v>43251469</v>
      </c>
      <c r="G84" s="101">
        <v>52165966</v>
      </c>
      <c r="H84" s="97">
        <v>360</v>
      </c>
      <c r="I84" s="101">
        <v>13500</v>
      </c>
      <c r="J84" s="101">
        <v>58658016</v>
      </c>
      <c r="K84" s="101">
        <v>58671516</v>
      </c>
      <c r="L84" s="97">
        <v>386</v>
      </c>
      <c r="M84" s="101">
        <v>0</v>
      </c>
      <c r="N84" s="101">
        <v>58958841</v>
      </c>
      <c r="O84" s="101">
        <v>58958841</v>
      </c>
      <c r="P84" s="97">
        <v>386</v>
      </c>
      <c r="Q84" s="101">
        <v>0</v>
      </c>
      <c r="R84" s="101">
        <v>59033590</v>
      </c>
      <c r="S84" s="101">
        <v>59033590</v>
      </c>
      <c r="T84" s="97">
        <v>387</v>
      </c>
      <c r="U84" s="101">
        <v>0</v>
      </c>
      <c r="V84" s="101">
        <v>59137812</v>
      </c>
      <c r="W84" s="101">
        <v>59137812</v>
      </c>
      <c r="X84" s="97">
        <v>387</v>
      </c>
    </row>
    <row r="85" spans="1:24">
      <c r="A85" s="85" t="s">
        <v>56</v>
      </c>
      <c r="B85" s="89"/>
      <c r="C85" s="76">
        <v>3</v>
      </c>
      <c r="D85" s="76">
        <v>7</v>
      </c>
      <c r="E85" s="100">
        <v>71851912</v>
      </c>
      <c r="F85" s="100">
        <v>157689419</v>
      </c>
      <c r="G85" s="100">
        <v>229541331</v>
      </c>
      <c r="H85" s="96">
        <v>254</v>
      </c>
      <c r="I85" s="100">
        <v>4090669</v>
      </c>
      <c r="J85" s="100">
        <v>254959856</v>
      </c>
      <c r="K85" s="100">
        <v>259050525</v>
      </c>
      <c r="L85" s="96">
        <v>281</v>
      </c>
      <c r="M85" s="100">
        <v>0</v>
      </c>
      <c r="N85" s="100">
        <v>265332912</v>
      </c>
      <c r="O85" s="100">
        <v>265332912</v>
      </c>
      <c r="P85" s="96">
        <v>282</v>
      </c>
      <c r="Q85" s="100">
        <v>0</v>
      </c>
      <c r="R85" s="100">
        <v>265358412</v>
      </c>
      <c r="S85" s="100">
        <v>265358412</v>
      </c>
      <c r="T85" s="96">
        <v>282</v>
      </c>
      <c r="U85" s="100">
        <v>0</v>
      </c>
      <c r="V85" s="100">
        <v>265358412</v>
      </c>
      <c r="W85" s="100">
        <v>265358412</v>
      </c>
      <c r="X85" s="96">
        <v>283</v>
      </c>
    </row>
    <row r="86" spans="1:24">
      <c r="A86" s="86" t="s">
        <v>56</v>
      </c>
      <c r="B86" s="90"/>
      <c r="C86" s="77">
        <v>3</v>
      </c>
      <c r="D86" s="77">
        <v>8</v>
      </c>
      <c r="E86" s="101">
        <v>854129799</v>
      </c>
      <c r="F86" s="101">
        <v>3285856391</v>
      </c>
      <c r="G86" s="101">
        <v>4139986190</v>
      </c>
      <c r="H86" s="97">
        <v>84470</v>
      </c>
      <c r="I86" s="101">
        <v>52425655</v>
      </c>
      <c r="J86" s="101">
        <v>4796860201</v>
      </c>
      <c r="K86" s="101">
        <v>4849285856</v>
      </c>
      <c r="L86" s="97">
        <v>91366</v>
      </c>
      <c r="M86" s="101">
        <v>15709978</v>
      </c>
      <c r="N86" s="101">
        <v>4872893591</v>
      </c>
      <c r="O86" s="101">
        <v>4888603569</v>
      </c>
      <c r="P86" s="97">
        <v>91462</v>
      </c>
      <c r="Q86" s="101">
        <v>23604643</v>
      </c>
      <c r="R86" s="101">
        <v>4928395196</v>
      </c>
      <c r="S86" s="101">
        <v>4951999839</v>
      </c>
      <c r="T86" s="97">
        <v>91477</v>
      </c>
      <c r="U86" s="101">
        <v>12138436</v>
      </c>
      <c r="V86" s="101">
        <v>4964136845</v>
      </c>
      <c r="W86" s="101">
        <v>4976275281</v>
      </c>
      <c r="X86" s="97">
        <v>91486</v>
      </c>
    </row>
    <row r="87" spans="1:24">
      <c r="A87" s="85" t="s">
        <v>56</v>
      </c>
      <c r="B87" s="89"/>
      <c r="C87" s="76">
        <v>3</v>
      </c>
      <c r="D87" s="76">
        <v>9</v>
      </c>
      <c r="E87" s="100">
        <v>712580998</v>
      </c>
      <c r="F87" s="100">
        <v>664244589</v>
      </c>
      <c r="G87" s="100">
        <v>1376825587</v>
      </c>
      <c r="H87" s="96">
        <v>1248</v>
      </c>
      <c r="I87" s="100">
        <v>65538072</v>
      </c>
      <c r="J87" s="100">
        <v>1213267760</v>
      </c>
      <c r="K87" s="100">
        <v>1278805832</v>
      </c>
      <c r="L87" s="96">
        <v>1389</v>
      </c>
      <c r="M87" s="100">
        <v>67650747</v>
      </c>
      <c r="N87" s="100">
        <v>1269338371</v>
      </c>
      <c r="O87" s="100">
        <v>1336989118</v>
      </c>
      <c r="P87" s="96">
        <v>1394</v>
      </c>
      <c r="Q87" s="100">
        <v>99717113</v>
      </c>
      <c r="R87" s="100">
        <v>1372074267</v>
      </c>
      <c r="S87" s="100">
        <v>1471791380</v>
      </c>
      <c r="T87" s="96">
        <v>1400</v>
      </c>
      <c r="U87" s="100">
        <v>40186061</v>
      </c>
      <c r="V87" s="100">
        <v>1431231780</v>
      </c>
      <c r="W87" s="100">
        <v>1471417841</v>
      </c>
      <c r="X87" s="96">
        <v>1403</v>
      </c>
    </row>
    <row r="88" spans="1:24">
      <c r="A88" s="86" t="s">
        <v>56</v>
      </c>
      <c r="B88" s="90"/>
      <c r="C88" s="77">
        <v>6</v>
      </c>
      <c r="D88" s="77">
        <v>1</v>
      </c>
      <c r="E88" s="101">
        <v>34461903</v>
      </c>
      <c r="F88" s="101">
        <v>8901555</v>
      </c>
      <c r="G88" s="101">
        <v>43363458</v>
      </c>
      <c r="H88" s="97">
        <v>472</v>
      </c>
      <c r="I88" s="101">
        <v>68717486</v>
      </c>
      <c r="J88" s="101">
        <v>32512876</v>
      </c>
      <c r="K88" s="101">
        <v>101230362</v>
      </c>
      <c r="L88" s="97">
        <v>580</v>
      </c>
      <c r="M88" s="101">
        <v>91365260</v>
      </c>
      <c r="N88" s="101">
        <v>57801124</v>
      </c>
      <c r="O88" s="101">
        <v>149166384</v>
      </c>
      <c r="P88" s="97">
        <v>641</v>
      </c>
      <c r="Q88" s="101">
        <v>80081330</v>
      </c>
      <c r="R88" s="101">
        <v>85936199</v>
      </c>
      <c r="S88" s="101">
        <v>166017529</v>
      </c>
      <c r="T88" s="97">
        <v>644</v>
      </c>
      <c r="U88" s="101">
        <v>384861623</v>
      </c>
      <c r="V88" s="101">
        <v>94430283</v>
      </c>
      <c r="W88" s="101">
        <v>479291906</v>
      </c>
      <c r="X88" s="97">
        <v>650</v>
      </c>
    </row>
    <row r="89" spans="1:24">
      <c r="A89" s="85" t="s">
        <v>56</v>
      </c>
      <c r="B89" s="89"/>
      <c r="C89" s="76">
        <v>6</v>
      </c>
      <c r="D89" s="76">
        <v>2</v>
      </c>
      <c r="E89" s="100">
        <v>657235215</v>
      </c>
      <c r="F89" s="100">
        <v>262688484</v>
      </c>
      <c r="G89" s="100">
        <v>919923699</v>
      </c>
      <c r="H89" s="96">
        <v>4755</v>
      </c>
      <c r="I89" s="100">
        <v>834076897</v>
      </c>
      <c r="J89" s="100">
        <v>945557904</v>
      </c>
      <c r="K89" s="100">
        <v>1779634801</v>
      </c>
      <c r="L89" s="96">
        <v>5775</v>
      </c>
      <c r="M89" s="100">
        <v>1574936922</v>
      </c>
      <c r="N89" s="100">
        <v>1752280622</v>
      </c>
      <c r="O89" s="100">
        <v>3327217544</v>
      </c>
      <c r="P89" s="96">
        <v>6058</v>
      </c>
      <c r="Q89" s="100">
        <v>2888496470</v>
      </c>
      <c r="R89" s="100">
        <v>3331821993</v>
      </c>
      <c r="S89" s="100">
        <v>6220318463</v>
      </c>
      <c r="T89" s="96">
        <v>6125</v>
      </c>
      <c r="U89" s="100">
        <v>5157017742</v>
      </c>
      <c r="V89" s="100">
        <v>6978769073</v>
      </c>
      <c r="W89" s="100">
        <v>12135786815</v>
      </c>
      <c r="X89" s="96">
        <v>6172</v>
      </c>
    </row>
    <row r="90" spans="1:24">
      <c r="A90" s="86" t="s">
        <v>56</v>
      </c>
      <c r="B90" s="90"/>
      <c r="C90" s="77">
        <v>6</v>
      </c>
      <c r="D90" s="77">
        <v>3</v>
      </c>
      <c r="E90" s="101">
        <v>979771967</v>
      </c>
      <c r="F90" s="101">
        <v>2205313549</v>
      </c>
      <c r="G90" s="101">
        <v>3185085516</v>
      </c>
      <c r="H90" s="97">
        <v>71975</v>
      </c>
      <c r="I90" s="101">
        <v>569919898</v>
      </c>
      <c r="J90" s="101">
        <v>3994896619</v>
      </c>
      <c r="K90" s="101">
        <v>4564816517</v>
      </c>
      <c r="L90" s="97">
        <v>76823</v>
      </c>
      <c r="M90" s="101">
        <v>1024421204</v>
      </c>
      <c r="N90" s="101">
        <v>4275903210</v>
      </c>
      <c r="O90" s="101">
        <v>5300324414</v>
      </c>
      <c r="P90" s="97">
        <v>81898</v>
      </c>
      <c r="Q90" s="101">
        <v>1067962728</v>
      </c>
      <c r="R90" s="101">
        <v>4992151743</v>
      </c>
      <c r="S90" s="101">
        <v>6060114471</v>
      </c>
      <c r="T90" s="97">
        <v>82030</v>
      </c>
      <c r="U90" s="101">
        <v>1449290775</v>
      </c>
      <c r="V90" s="101">
        <v>5689659233</v>
      </c>
      <c r="W90" s="101">
        <v>7138950008</v>
      </c>
      <c r="X90" s="97">
        <v>82051</v>
      </c>
    </row>
    <row r="91" spans="1:24">
      <c r="A91" s="85" t="s">
        <v>56</v>
      </c>
      <c r="B91" s="89"/>
      <c r="C91" s="76">
        <v>6</v>
      </c>
      <c r="D91" s="76">
        <v>4</v>
      </c>
      <c r="E91" s="100">
        <v>20810386</v>
      </c>
      <c r="F91" s="100">
        <v>154854547</v>
      </c>
      <c r="G91" s="100">
        <v>175664933</v>
      </c>
      <c r="H91" s="96">
        <v>2172</v>
      </c>
      <c r="I91" s="100">
        <v>1640281</v>
      </c>
      <c r="J91" s="100">
        <v>220113458</v>
      </c>
      <c r="K91" s="100">
        <v>221753739</v>
      </c>
      <c r="L91" s="96">
        <v>2287</v>
      </c>
      <c r="M91" s="100">
        <v>22724</v>
      </c>
      <c r="N91" s="100">
        <v>220905641</v>
      </c>
      <c r="O91" s="100">
        <v>220928365</v>
      </c>
      <c r="P91" s="96">
        <v>2290</v>
      </c>
      <c r="Q91" s="100">
        <v>0</v>
      </c>
      <c r="R91" s="100">
        <v>221662610</v>
      </c>
      <c r="S91" s="100">
        <v>221662610</v>
      </c>
      <c r="T91" s="96">
        <v>2293</v>
      </c>
      <c r="U91" s="100">
        <v>0</v>
      </c>
      <c r="V91" s="100">
        <v>222851536</v>
      </c>
      <c r="W91" s="100">
        <v>222851536</v>
      </c>
      <c r="X91" s="96">
        <v>2294</v>
      </c>
    </row>
    <row r="92" spans="1:24">
      <c r="A92" s="86" t="s">
        <v>56</v>
      </c>
      <c r="B92" s="90"/>
      <c r="C92" s="77">
        <v>6</v>
      </c>
      <c r="D92" s="77">
        <v>5</v>
      </c>
      <c r="E92" s="101">
        <v>323749663</v>
      </c>
      <c r="F92" s="101">
        <v>687396602</v>
      </c>
      <c r="G92" s="101">
        <v>1011146265</v>
      </c>
      <c r="H92" s="97">
        <v>518</v>
      </c>
      <c r="I92" s="101">
        <v>31075204</v>
      </c>
      <c r="J92" s="101">
        <v>1110352337</v>
      </c>
      <c r="K92" s="101">
        <v>1141427541</v>
      </c>
      <c r="L92" s="97">
        <v>561</v>
      </c>
      <c r="M92" s="101">
        <v>10013259</v>
      </c>
      <c r="N92" s="101">
        <v>1130121375</v>
      </c>
      <c r="O92" s="101">
        <v>1140134634</v>
      </c>
      <c r="P92" s="97">
        <v>569</v>
      </c>
      <c r="Q92" s="101">
        <v>46205626</v>
      </c>
      <c r="R92" s="101">
        <v>1130797073</v>
      </c>
      <c r="S92" s="101">
        <v>1177002699</v>
      </c>
      <c r="T92" s="97">
        <v>625</v>
      </c>
      <c r="U92" s="101">
        <v>50731678</v>
      </c>
      <c r="V92" s="101">
        <v>1283859337</v>
      </c>
      <c r="W92" s="101">
        <v>1334591015</v>
      </c>
      <c r="X92" s="97">
        <v>665</v>
      </c>
    </row>
    <row r="93" spans="1:24">
      <c r="A93" s="85" t="s">
        <v>56</v>
      </c>
      <c r="B93" s="89"/>
      <c r="C93" s="76">
        <v>6</v>
      </c>
      <c r="D93" s="76">
        <v>6</v>
      </c>
      <c r="E93" s="100">
        <v>11129300</v>
      </c>
      <c r="F93" s="100">
        <v>44551469</v>
      </c>
      <c r="G93" s="100">
        <v>55680769</v>
      </c>
      <c r="H93" s="96">
        <v>257</v>
      </c>
      <c r="I93" s="100">
        <v>6414</v>
      </c>
      <c r="J93" s="100">
        <v>86125730</v>
      </c>
      <c r="K93" s="100">
        <v>86132144</v>
      </c>
      <c r="L93" s="96">
        <v>272</v>
      </c>
      <c r="M93" s="100">
        <v>0</v>
      </c>
      <c r="N93" s="100">
        <v>87340300</v>
      </c>
      <c r="O93" s="100">
        <v>87340300</v>
      </c>
      <c r="P93" s="96">
        <v>273</v>
      </c>
      <c r="Q93" s="100">
        <v>0</v>
      </c>
      <c r="R93" s="100">
        <v>87340300</v>
      </c>
      <c r="S93" s="100">
        <v>87340300</v>
      </c>
      <c r="T93" s="96">
        <v>273</v>
      </c>
      <c r="U93" s="100">
        <v>0</v>
      </c>
      <c r="V93" s="100">
        <v>87340300</v>
      </c>
      <c r="W93" s="100">
        <v>87340300</v>
      </c>
      <c r="X93" s="96">
        <v>273</v>
      </c>
    </row>
    <row r="94" spans="1:24">
      <c r="A94" s="86" t="s">
        <v>56</v>
      </c>
      <c r="B94" s="90"/>
      <c r="C94" s="77">
        <v>6</v>
      </c>
      <c r="D94" s="77">
        <v>7</v>
      </c>
      <c r="E94" s="101">
        <v>114346755</v>
      </c>
      <c r="F94" s="101">
        <v>201484192</v>
      </c>
      <c r="G94" s="101">
        <v>315830947</v>
      </c>
      <c r="H94" s="97">
        <v>160</v>
      </c>
      <c r="I94" s="101">
        <v>40975596</v>
      </c>
      <c r="J94" s="101">
        <v>294345499</v>
      </c>
      <c r="K94" s="101">
        <v>335321095</v>
      </c>
      <c r="L94" s="97">
        <v>172</v>
      </c>
      <c r="M94" s="101">
        <v>7846248</v>
      </c>
      <c r="N94" s="101">
        <v>319452517</v>
      </c>
      <c r="O94" s="101">
        <v>327298765</v>
      </c>
      <c r="P94" s="97">
        <v>175</v>
      </c>
      <c r="Q94" s="101">
        <v>15852522</v>
      </c>
      <c r="R94" s="101">
        <v>323585002</v>
      </c>
      <c r="S94" s="101">
        <v>339437524</v>
      </c>
      <c r="T94" s="97">
        <v>175</v>
      </c>
      <c r="U94" s="101">
        <v>5151915</v>
      </c>
      <c r="V94" s="101">
        <v>371141140</v>
      </c>
      <c r="W94" s="101">
        <v>376293055</v>
      </c>
      <c r="X94" s="97">
        <v>175</v>
      </c>
    </row>
    <row r="95" spans="1:24">
      <c r="A95" s="85" t="s">
        <v>56</v>
      </c>
      <c r="B95" s="89"/>
      <c r="C95" s="76">
        <v>6</v>
      </c>
      <c r="D95" s="76">
        <v>8</v>
      </c>
      <c r="E95" s="100">
        <v>131823491</v>
      </c>
      <c r="F95" s="100">
        <v>382964745</v>
      </c>
      <c r="G95" s="100">
        <v>514788236</v>
      </c>
      <c r="H95" s="96">
        <v>8200</v>
      </c>
      <c r="I95" s="100">
        <v>10639581</v>
      </c>
      <c r="J95" s="100">
        <v>558236261</v>
      </c>
      <c r="K95" s="100">
        <v>568875842</v>
      </c>
      <c r="L95" s="96">
        <v>8603</v>
      </c>
      <c r="M95" s="100">
        <v>9688175</v>
      </c>
      <c r="N95" s="100">
        <v>579438934</v>
      </c>
      <c r="O95" s="100">
        <v>589127109</v>
      </c>
      <c r="P95" s="96">
        <v>8615</v>
      </c>
      <c r="Q95" s="100">
        <v>8833548</v>
      </c>
      <c r="R95" s="100">
        <v>581051799</v>
      </c>
      <c r="S95" s="100">
        <v>589885347</v>
      </c>
      <c r="T95" s="96">
        <v>8624</v>
      </c>
      <c r="U95" s="100">
        <v>935065</v>
      </c>
      <c r="V95" s="100">
        <v>582151932</v>
      </c>
      <c r="W95" s="100">
        <v>583086997</v>
      </c>
      <c r="X95" s="96">
        <v>8637</v>
      </c>
    </row>
    <row r="96" spans="1:24">
      <c r="A96" s="86" t="s">
        <v>56</v>
      </c>
      <c r="B96" s="90"/>
      <c r="C96" s="77">
        <v>6</v>
      </c>
      <c r="D96" s="77">
        <v>9</v>
      </c>
      <c r="E96" s="101">
        <v>755594639</v>
      </c>
      <c r="F96" s="101">
        <v>764300366</v>
      </c>
      <c r="G96" s="101">
        <v>1519895005</v>
      </c>
      <c r="H96" s="97">
        <v>636</v>
      </c>
      <c r="I96" s="101">
        <v>43358916</v>
      </c>
      <c r="J96" s="101">
        <v>1453654722</v>
      </c>
      <c r="K96" s="101">
        <v>1497013638</v>
      </c>
      <c r="L96" s="97">
        <v>669</v>
      </c>
      <c r="M96" s="101">
        <v>33562603</v>
      </c>
      <c r="N96" s="101">
        <v>1518803482</v>
      </c>
      <c r="O96" s="101">
        <v>1552366085</v>
      </c>
      <c r="P96" s="97">
        <v>670</v>
      </c>
      <c r="Q96" s="101">
        <v>17962752</v>
      </c>
      <c r="R96" s="101">
        <v>1524928642</v>
      </c>
      <c r="S96" s="101">
        <v>1542891394</v>
      </c>
      <c r="T96" s="97">
        <v>671</v>
      </c>
      <c r="U96" s="101">
        <v>3837392</v>
      </c>
      <c r="V96" s="101">
        <v>1675064005</v>
      </c>
      <c r="W96" s="101">
        <v>1678901397</v>
      </c>
      <c r="X96" s="97">
        <v>673</v>
      </c>
    </row>
    <row r="97" spans="1:24">
      <c r="A97" s="85" t="s">
        <v>56</v>
      </c>
      <c r="B97" s="89"/>
      <c r="C97" s="76">
        <v>7</v>
      </c>
      <c r="D97" s="76">
        <v>1</v>
      </c>
      <c r="E97" s="100">
        <v>15243626</v>
      </c>
      <c r="F97" s="100">
        <v>9963563</v>
      </c>
      <c r="G97" s="100">
        <v>25207189</v>
      </c>
      <c r="H97" s="96">
        <v>2420</v>
      </c>
      <c r="I97" s="100">
        <v>31582475</v>
      </c>
      <c r="J97" s="100">
        <v>14440021</v>
      </c>
      <c r="K97" s="100">
        <v>46022496</v>
      </c>
      <c r="L97" s="96">
        <v>2471</v>
      </c>
      <c r="M97" s="100">
        <v>69331902</v>
      </c>
      <c r="N97" s="100">
        <v>16759048</v>
      </c>
      <c r="O97" s="100">
        <v>86090950</v>
      </c>
      <c r="P97" s="96">
        <v>2480</v>
      </c>
      <c r="Q97" s="100">
        <v>107668172</v>
      </c>
      <c r="R97" s="100">
        <v>16909898</v>
      </c>
      <c r="S97" s="100">
        <v>124578070</v>
      </c>
      <c r="T97" s="96">
        <v>2494</v>
      </c>
      <c r="U97" s="100">
        <v>82738722</v>
      </c>
      <c r="V97" s="100">
        <v>31115193</v>
      </c>
      <c r="W97" s="100">
        <v>113853915</v>
      </c>
      <c r="X97" s="96">
        <v>2495</v>
      </c>
    </row>
    <row r="98" spans="1:24">
      <c r="A98" s="86" t="s">
        <v>56</v>
      </c>
      <c r="B98" s="90"/>
      <c r="C98" s="77">
        <v>7</v>
      </c>
      <c r="D98" s="77">
        <v>2</v>
      </c>
      <c r="E98" s="101">
        <v>141570950</v>
      </c>
      <c r="F98" s="101">
        <v>48020108</v>
      </c>
      <c r="G98" s="101">
        <v>189591058</v>
      </c>
      <c r="H98" s="97">
        <v>2416</v>
      </c>
      <c r="I98" s="101">
        <v>181464677</v>
      </c>
      <c r="J98" s="101">
        <v>100669993</v>
      </c>
      <c r="K98" s="101">
        <v>282134670</v>
      </c>
      <c r="L98" s="97">
        <v>2558</v>
      </c>
      <c r="M98" s="101">
        <v>248855446</v>
      </c>
      <c r="N98" s="101">
        <v>148936976</v>
      </c>
      <c r="O98" s="101">
        <v>397792422</v>
      </c>
      <c r="P98" s="97">
        <v>2596</v>
      </c>
      <c r="Q98" s="101">
        <v>688594922</v>
      </c>
      <c r="R98" s="101">
        <v>288606037</v>
      </c>
      <c r="S98" s="101">
        <v>977200959</v>
      </c>
      <c r="T98" s="97">
        <v>2614</v>
      </c>
      <c r="U98" s="101">
        <v>722588699</v>
      </c>
      <c r="V98" s="101">
        <v>913305498</v>
      </c>
      <c r="W98" s="101">
        <v>1635894197</v>
      </c>
      <c r="X98" s="97">
        <v>2620</v>
      </c>
    </row>
    <row r="99" spans="1:24">
      <c r="A99" s="85" t="s">
        <v>56</v>
      </c>
      <c r="B99" s="89"/>
      <c r="C99" s="76">
        <v>7</v>
      </c>
      <c r="D99" s="76">
        <v>3</v>
      </c>
      <c r="E99" s="100">
        <v>114126821</v>
      </c>
      <c r="F99" s="100">
        <v>179728613</v>
      </c>
      <c r="G99" s="100">
        <v>293855434</v>
      </c>
      <c r="H99" s="96">
        <v>23577</v>
      </c>
      <c r="I99" s="100">
        <v>120285940</v>
      </c>
      <c r="J99" s="100">
        <v>249286078</v>
      </c>
      <c r="K99" s="100">
        <v>369572018</v>
      </c>
      <c r="L99" s="96">
        <v>24085</v>
      </c>
      <c r="M99" s="100">
        <v>52168924</v>
      </c>
      <c r="N99" s="100">
        <v>255389845</v>
      </c>
      <c r="O99" s="100">
        <v>307558769</v>
      </c>
      <c r="P99" s="96">
        <v>24142</v>
      </c>
      <c r="Q99" s="100">
        <v>64549981</v>
      </c>
      <c r="R99" s="100">
        <v>269776546</v>
      </c>
      <c r="S99" s="100">
        <v>334326527</v>
      </c>
      <c r="T99" s="96">
        <v>24194</v>
      </c>
      <c r="U99" s="100">
        <v>114353790</v>
      </c>
      <c r="V99" s="100">
        <v>295023190</v>
      </c>
      <c r="W99" s="100">
        <v>409376980</v>
      </c>
      <c r="X99" s="96">
        <v>24195</v>
      </c>
    </row>
    <row r="100" spans="1:24">
      <c r="A100" s="86" t="s">
        <v>56</v>
      </c>
      <c r="B100" s="90"/>
      <c r="C100" s="77">
        <v>7</v>
      </c>
      <c r="D100" s="77">
        <v>4</v>
      </c>
      <c r="E100" s="101">
        <v>2532029</v>
      </c>
      <c r="F100" s="101">
        <v>820747</v>
      </c>
      <c r="G100" s="101">
        <v>3352776</v>
      </c>
      <c r="H100" s="97">
        <v>71</v>
      </c>
      <c r="I100" s="101">
        <v>567131</v>
      </c>
      <c r="J100" s="101">
        <v>906014</v>
      </c>
      <c r="K100" s="101">
        <v>1473145</v>
      </c>
      <c r="L100" s="97">
        <v>79</v>
      </c>
      <c r="M100" s="101">
        <v>0</v>
      </c>
      <c r="N100" s="101">
        <v>919877</v>
      </c>
      <c r="O100" s="101">
        <v>919877</v>
      </c>
      <c r="P100" s="97">
        <v>79</v>
      </c>
      <c r="Q100" s="101">
        <v>0</v>
      </c>
      <c r="R100" s="101">
        <v>944877</v>
      </c>
      <c r="S100" s="101">
        <v>944877</v>
      </c>
      <c r="T100" s="97">
        <v>79</v>
      </c>
      <c r="U100" s="101">
        <v>0</v>
      </c>
      <c r="V100" s="101">
        <v>944877</v>
      </c>
      <c r="W100" s="101">
        <v>944877</v>
      </c>
      <c r="X100" s="97">
        <v>79</v>
      </c>
    </row>
    <row r="101" spans="1:24">
      <c r="A101" s="85" t="s">
        <v>56</v>
      </c>
      <c r="B101" s="89"/>
      <c r="C101" s="76">
        <v>7</v>
      </c>
      <c r="D101" s="76">
        <v>5</v>
      </c>
      <c r="E101" s="100">
        <v>236093782</v>
      </c>
      <c r="F101" s="100">
        <v>707089130</v>
      </c>
      <c r="G101" s="100">
        <v>943182912</v>
      </c>
      <c r="H101" s="96">
        <v>4728</v>
      </c>
      <c r="I101" s="100">
        <v>11441575</v>
      </c>
      <c r="J101" s="100">
        <v>958607085</v>
      </c>
      <c r="K101" s="100">
        <v>970048660</v>
      </c>
      <c r="L101" s="96">
        <v>4858</v>
      </c>
      <c r="M101" s="100">
        <v>15481757</v>
      </c>
      <c r="N101" s="100">
        <v>965907734</v>
      </c>
      <c r="O101" s="100">
        <v>981389491</v>
      </c>
      <c r="P101" s="96">
        <v>4860</v>
      </c>
      <c r="Q101" s="100">
        <v>17020298</v>
      </c>
      <c r="R101" s="100">
        <v>974505538</v>
      </c>
      <c r="S101" s="100">
        <v>991525836</v>
      </c>
      <c r="T101" s="96">
        <v>4862</v>
      </c>
      <c r="U101" s="100">
        <v>17382449</v>
      </c>
      <c r="V101" s="100">
        <v>979925627</v>
      </c>
      <c r="W101" s="100">
        <v>997308076</v>
      </c>
      <c r="X101" s="96">
        <v>4862</v>
      </c>
    </row>
    <row r="102" spans="1:24">
      <c r="A102" s="86" t="s">
        <v>56</v>
      </c>
      <c r="B102" s="90"/>
      <c r="C102" s="77">
        <v>7</v>
      </c>
      <c r="D102" s="77">
        <v>6</v>
      </c>
      <c r="E102" s="101">
        <v>449000</v>
      </c>
      <c r="F102" s="101">
        <v>85070</v>
      </c>
      <c r="G102" s="101">
        <v>534070</v>
      </c>
      <c r="H102" s="97">
        <v>37</v>
      </c>
      <c r="I102" s="101">
        <v>0</v>
      </c>
      <c r="J102" s="101">
        <v>87270</v>
      </c>
      <c r="K102" s="101">
        <v>87270</v>
      </c>
      <c r="L102" s="97">
        <v>42</v>
      </c>
      <c r="M102" s="101">
        <v>0</v>
      </c>
      <c r="N102" s="101">
        <v>87270</v>
      </c>
      <c r="O102" s="101">
        <v>87270</v>
      </c>
      <c r="P102" s="97">
        <v>42</v>
      </c>
      <c r="Q102" s="101">
        <v>0</v>
      </c>
      <c r="R102" s="101">
        <v>87270</v>
      </c>
      <c r="S102" s="101">
        <v>87270</v>
      </c>
      <c r="T102" s="97">
        <v>42</v>
      </c>
      <c r="U102" s="101">
        <v>0</v>
      </c>
      <c r="V102" s="101">
        <v>87270</v>
      </c>
      <c r="W102" s="101">
        <v>87270</v>
      </c>
      <c r="X102" s="97">
        <v>42</v>
      </c>
    </row>
    <row r="103" spans="1:24">
      <c r="A103" s="85" t="s">
        <v>56</v>
      </c>
      <c r="B103" s="89"/>
      <c r="C103" s="76">
        <v>7</v>
      </c>
      <c r="D103" s="76">
        <v>7</v>
      </c>
      <c r="E103" s="100">
        <v>495000</v>
      </c>
      <c r="F103" s="100">
        <v>3911246</v>
      </c>
      <c r="G103" s="100">
        <v>4406246</v>
      </c>
      <c r="H103" s="96">
        <v>39</v>
      </c>
      <c r="I103" s="100">
        <v>90201</v>
      </c>
      <c r="J103" s="100">
        <v>4854974</v>
      </c>
      <c r="K103" s="100">
        <v>4945175</v>
      </c>
      <c r="L103" s="96">
        <v>40</v>
      </c>
      <c r="M103" s="100">
        <v>0</v>
      </c>
      <c r="N103" s="100">
        <v>4854974</v>
      </c>
      <c r="O103" s="100">
        <v>4854974</v>
      </c>
      <c r="P103" s="96">
        <v>40</v>
      </c>
      <c r="Q103" s="100">
        <v>0</v>
      </c>
      <c r="R103" s="100">
        <v>4854974</v>
      </c>
      <c r="S103" s="100">
        <v>4854974</v>
      </c>
      <c r="T103" s="96">
        <v>40</v>
      </c>
      <c r="U103" s="100">
        <v>0</v>
      </c>
      <c r="V103" s="100">
        <v>4854974</v>
      </c>
      <c r="W103" s="100">
        <v>4854974</v>
      </c>
      <c r="X103" s="96">
        <v>40</v>
      </c>
    </row>
    <row r="104" spans="1:24">
      <c r="A104" s="86" t="s">
        <v>56</v>
      </c>
      <c r="B104" s="90"/>
      <c r="C104" s="77">
        <v>7</v>
      </c>
      <c r="D104" s="77">
        <v>8</v>
      </c>
      <c r="E104" s="101">
        <v>8325537</v>
      </c>
      <c r="F104" s="101">
        <v>90927882</v>
      </c>
      <c r="G104" s="101">
        <v>99253419</v>
      </c>
      <c r="H104" s="97">
        <v>1024</v>
      </c>
      <c r="I104" s="101">
        <v>953580</v>
      </c>
      <c r="J104" s="101">
        <v>131614535</v>
      </c>
      <c r="K104" s="101">
        <v>132568115</v>
      </c>
      <c r="L104" s="97">
        <v>1131</v>
      </c>
      <c r="M104" s="101">
        <v>1087680</v>
      </c>
      <c r="N104" s="101">
        <v>132928059</v>
      </c>
      <c r="O104" s="101">
        <v>134015739</v>
      </c>
      <c r="P104" s="97">
        <v>1132</v>
      </c>
      <c r="Q104" s="101">
        <v>795024</v>
      </c>
      <c r="R104" s="101">
        <v>133186687</v>
      </c>
      <c r="S104" s="101">
        <v>133981711</v>
      </c>
      <c r="T104" s="97">
        <v>1133</v>
      </c>
      <c r="U104" s="101">
        <v>0</v>
      </c>
      <c r="V104" s="101">
        <v>133277206</v>
      </c>
      <c r="W104" s="101">
        <v>133277206</v>
      </c>
      <c r="X104" s="97">
        <v>1134</v>
      </c>
    </row>
    <row r="105" spans="1:24">
      <c r="A105" s="85" t="s">
        <v>56</v>
      </c>
      <c r="B105" s="89"/>
      <c r="C105" s="76">
        <v>7</v>
      </c>
      <c r="D105" s="76">
        <v>9</v>
      </c>
      <c r="E105" s="100">
        <v>65432238</v>
      </c>
      <c r="F105" s="100">
        <v>52546980</v>
      </c>
      <c r="G105" s="100">
        <v>117979218</v>
      </c>
      <c r="H105" s="96">
        <v>599</v>
      </c>
      <c r="I105" s="100">
        <v>12604424</v>
      </c>
      <c r="J105" s="100">
        <v>108569762</v>
      </c>
      <c r="K105" s="100">
        <v>121174186</v>
      </c>
      <c r="L105" s="96">
        <v>712</v>
      </c>
      <c r="M105" s="100">
        <v>1877078</v>
      </c>
      <c r="N105" s="100">
        <v>113530807</v>
      </c>
      <c r="O105" s="100">
        <v>115407885</v>
      </c>
      <c r="P105" s="96">
        <v>716</v>
      </c>
      <c r="Q105" s="100">
        <v>905600</v>
      </c>
      <c r="R105" s="100">
        <v>115168351</v>
      </c>
      <c r="S105" s="100">
        <v>116073951</v>
      </c>
      <c r="T105" s="96">
        <v>718</v>
      </c>
      <c r="U105" s="100">
        <v>0</v>
      </c>
      <c r="V105" s="100">
        <v>115168351</v>
      </c>
      <c r="W105" s="100">
        <v>115168351</v>
      </c>
      <c r="X105" s="96">
        <v>718</v>
      </c>
    </row>
    <row r="106" spans="1:24">
      <c r="A106" s="86" t="s">
        <v>56</v>
      </c>
      <c r="B106" s="90"/>
      <c r="C106" s="77">
        <v>8</v>
      </c>
      <c r="D106" s="77">
        <v>1</v>
      </c>
      <c r="E106" s="101">
        <v>0</v>
      </c>
      <c r="F106" s="101">
        <v>8000</v>
      </c>
      <c r="G106" s="101">
        <v>8000</v>
      </c>
      <c r="H106" s="97">
        <v>6</v>
      </c>
      <c r="I106" s="101">
        <v>0</v>
      </c>
      <c r="J106" s="101">
        <v>8000</v>
      </c>
      <c r="K106" s="101">
        <v>8000</v>
      </c>
      <c r="L106" s="97">
        <v>6</v>
      </c>
      <c r="M106" s="101">
        <v>0</v>
      </c>
      <c r="N106" s="101">
        <v>8000</v>
      </c>
      <c r="O106" s="101">
        <v>8000</v>
      </c>
      <c r="P106" s="97">
        <v>7</v>
      </c>
      <c r="Q106" s="101">
        <v>0</v>
      </c>
      <c r="R106" s="101">
        <v>8000</v>
      </c>
      <c r="S106" s="101">
        <v>8000</v>
      </c>
      <c r="T106" s="97">
        <v>7</v>
      </c>
      <c r="U106" s="101">
        <v>0</v>
      </c>
      <c r="V106" s="101">
        <v>8000</v>
      </c>
      <c r="W106" s="101">
        <v>8000</v>
      </c>
      <c r="X106" s="97">
        <v>7</v>
      </c>
    </row>
    <row r="107" spans="1:24">
      <c r="A107" s="85" t="s">
        <v>56</v>
      </c>
      <c r="B107" s="89"/>
      <c r="C107" s="76">
        <v>8</v>
      </c>
      <c r="D107" s="76">
        <v>2</v>
      </c>
      <c r="E107" s="100">
        <v>2800035</v>
      </c>
      <c r="F107" s="100">
        <v>1074779</v>
      </c>
      <c r="G107" s="100">
        <v>3874814</v>
      </c>
      <c r="H107" s="96">
        <v>75</v>
      </c>
      <c r="I107" s="100">
        <v>2500487</v>
      </c>
      <c r="J107" s="100">
        <v>1880321</v>
      </c>
      <c r="K107" s="100">
        <v>4380808</v>
      </c>
      <c r="L107" s="96">
        <v>84</v>
      </c>
      <c r="M107" s="100">
        <v>610110</v>
      </c>
      <c r="N107" s="100">
        <v>1889546</v>
      </c>
      <c r="O107" s="100">
        <v>2499656</v>
      </c>
      <c r="P107" s="96">
        <v>92</v>
      </c>
      <c r="Q107" s="100">
        <v>619741</v>
      </c>
      <c r="R107" s="100">
        <v>1892344</v>
      </c>
      <c r="S107" s="100">
        <v>2512085</v>
      </c>
      <c r="T107" s="96">
        <v>93</v>
      </c>
      <c r="U107" s="100">
        <v>16746212</v>
      </c>
      <c r="V107" s="100">
        <v>5305060</v>
      </c>
      <c r="W107" s="100">
        <v>22051272</v>
      </c>
      <c r="X107" s="96">
        <v>96</v>
      </c>
    </row>
    <row r="108" spans="1:24">
      <c r="A108" s="86" t="s">
        <v>56</v>
      </c>
      <c r="B108" s="90"/>
      <c r="C108" s="77">
        <v>8</v>
      </c>
      <c r="D108" s="77">
        <v>3</v>
      </c>
      <c r="E108" s="101">
        <v>11307021</v>
      </c>
      <c r="F108" s="101">
        <v>11490902</v>
      </c>
      <c r="G108" s="101">
        <v>22797923</v>
      </c>
      <c r="H108" s="97">
        <v>1295</v>
      </c>
      <c r="I108" s="101">
        <v>4179037</v>
      </c>
      <c r="J108" s="101">
        <v>17531672</v>
      </c>
      <c r="K108" s="101">
        <v>21710709</v>
      </c>
      <c r="L108" s="97">
        <v>1370</v>
      </c>
      <c r="M108" s="101">
        <v>2663768</v>
      </c>
      <c r="N108" s="101">
        <v>17644379</v>
      </c>
      <c r="O108" s="101">
        <v>20308147</v>
      </c>
      <c r="P108" s="97">
        <v>1571</v>
      </c>
      <c r="Q108" s="101">
        <v>1560832</v>
      </c>
      <c r="R108" s="101">
        <v>18361361</v>
      </c>
      <c r="S108" s="101">
        <v>19922193</v>
      </c>
      <c r="T108" s="97">
        <v>1575</v>
      </c>
      <c r="U108" s="101">
        <v>0</v>
      </c>
      <c r="V108" s="101">
        <v>18376991</v>
      </c>
      <c r="W108" s="101">
        <v>18376991</v>
      </c>
      <c r="X108" s="97">
        <v>1576</v>
      </c>
    </row>
    <row r="109" spans="1:24">
      <c r="A109" s="85" t="s">
        <v>56</v>
      </c>
      <c r="B109" s="89"/>
      <c r="C109" s="76">
        <v>8</v>
      </c>
      <c r="D109" s="76">
        <v>4</v>
      </c>
      <c r="E109" s="100">
        <v>0</v>
      </c>
      <c r="F109" s="100">
        <v>16648</v>
      </c>
      <c r="G109" s="100">
        <v>16648</v>
      </c>
      <c r="H109" s="96">
        <v>4</v>
      </c>
      <c r="I109" s="100">
        <v>0</v>
      </c>
      <c r="J109" s="100">
        <v>16648</v>
      </c>
      <c r="K109" s="100">
        <v>16648</v>
      </c>
      <c r="L109" s="96">
        <v>5</v>
      </c>
      <c r="M109" s="100">
        <v>0</v>
      </c>
      <c r="N109" s="100">
        <v>16648</v>
      </c>
      <c r="O109" s="100">
        <v>16648</v>
      </c>
      <c r="P109" s="96">
        <v>5</v>
      </c>
      <c r="Q109" s="100">
        <v>0</v>
      </c>
      <c r="R109" s="100">
        <v>16648</v>
      </c>
      <c r="S109" s="100">
        <v>16648</v>
      </c>
      <c r="T109" s="96">
        <v>5</v>
      </c>
      <c r="U109" s="100">
        <v>0</v>
      </c>
      <c r="V109" s="100">
        <v>16648</v>
      </c>
      <c r="W109" s="100">
        <v>16648</v>
      </c>
      <c r="X109" s="96">
        <v>5</v>
      </c>
    </row>
    <row r="110" spans="1:24">
      <c r="A110" s="86" t="s">
        <v>56</v>
      </c>
      <c r="B110" s="90"/>
      <c r="C110" s="77">
        <v>8</v>
      </c>
      <c r="D110" s="77">
        <v>5</v>
      </c>
      <c r="E110" s="101">
        <v>1288432</v>
      </c>
      <c r="F110" s="101">
        <v>411383</v>
      </c>
      <c r="G110" s="101">
        <v>1699815</v>
      </c>
      <c r="H110" s="97">
        <v>6</v>
      </c>
      <c r="I110" s="101">
        <v>6432</v>
      </c>
      <c r="J110" s="101">
        <v>1755096</v>
      </c>
      <c r="K110" s="101">
        <v>1761528</v>
      </c>
      <c r="L110" s="97">
        <v>8</v>
      </c>
      <c r="M110" s="101">
        <v>16432</v>
      </c>
      <c r="N110" s="101">
        <v>1844096</v>
      </c>
      <c r="O110" s="101">
        <v>1860528</v>
      </c>
      <c r="P110" s="97">
        <v>9</v>
      </c>
      <c r="Q110" s="101">
        <v>76432</v>
      </c>
      <c r="R110" s="101">
        <v>1844096</v>
      </c>
      <c r="S110" s="101">
        <v>1920528</v>
      </c>
      <c r="T110" s="97">
        <v>9</v>
      </c>
      <c r="U110" s="101">
        <v>176432</v>
      </c>
      <c r="V110" s="101">
        <v>1844096</v>
      </c>
      <c r="W110" s="101">
        <v>2020528</v>
      </c>
      <c r="X110" s="97">
        <v>9</v>
      </c>
    </row>
    <row r="111" spans="1:24">
      <c r="A111" s="85" t="s">
        <v>56</v>
      </c>
      <c r="B111" s="89"/>
      <c r="C111" s="76">
        <v>8</v>
      </c>
      <c r="D111" s="76">
        <v>6</v>
      </c>
      <c r="E111" s="100">
        <v>0</v>
      </c>
      <c r="F111" s="100">
        <v>830664</v>
      </c>
      <c r="G111" s="100">
        <v>830664</v>
      </c>
      <c r="H111" s="96">
        <v>2</v>
      </c>
      <c r="I111" s="100">
        <v>0</v>
      </c>
      <c r="J111" s="100">
        <v>830664</v>
      </c>
      <c r="K111" s="100">
        <v>830664</v>
      </c>
      <c r="L111" s="96">
        <v>2</v>
      </c>
      <c r="M111" s="100">
        <v>0</v>
      </c>
      <c r="N111" s="100">
        <v>830664</v>
      </c>
      <c r="O111" s="100">
        <v>830664</v>
      </c>
      <c r="P111" s="96">
        <v>2</v>
      </c>
      <c r="Q111" s="100">
        <v>0</v>
      </c>
      <c r="R111" s="100">
        <v>830664</v>
      </c>
      <c r="S111" s="100">
        <v>830664</v>
      </c>
      <c r="T111" s="96">
        <v>2</v>
      </c>
      <c r="U111" s="100">
        <v>0</v>
      </c>
      <c r="V111" s="100">
        <v>830664</v>
      </c>
      <c r="W111" s="100">
        <v>830664</v>
      </c>
      <c r="X111" s="96">
        <v>2</v>
      </c>
    </row>
    <row r="112" spans="1:24">
      <c r="A112" s="86" t="s">
        <v>56</v>
      </c>
      <c r="B112" s="90"/>
      <c r="C112" s="77">
        <v>8</v>
      </c>
      <c r="D112" s="77">
        <v>7</v>
      </c>
      <c r="E112" s="101">
        <v>1015480</v>
      </c>
      <c r="F112" s="101">
        <v>1033633</v>
      </c>
      <c r="G112" s="101">
        <v>2049113</v>
      </c>
      <c r="H112" s="97">
        <v>2</v>
      </c>
      <c r="I112" s="101">
        <v>0</v>
      </c>
      <c r="J112" s="101">
        <v>1033633</v>
      </c>
      <c r="K112" s="101">
        <v>1033633</v>
      </c>
      <c r="L112" s="97">
        <v>2</v>
      </c>
      <c r="M112" s="101">
        <v>0</v>
      </c>
      <c r="N112" s="101">
        <v>1033633</v>
      </c>
      <c r="O112" s="101">
        <v>1033633</v>
      </c>
      <c r="P112" s="97">
        <v>2</v>
      </c>
      <c r="Q112" s="101">
        <v>0</v>
      </c>
      <c r="R112" s="101">
        <v>1033633</v>
      </c>
      <c r="S112" s="101">
        <v>1033633</v>
      </c>
      <c r="T112" s="97">
        <v>2</v>
      </c>
      <c r="U112" s="101">
        <v>0</v>
      </c>
      <c r="V112" s="101">
        <v>1033633</v>
      </c>
      <c r="W112" s="101">
        <v>1033633</v>
      </c>
      <c r="X112" s="97">
        <v>2</v>
      </c>
    </row>
    <row r="113" spans="1:24">
      <c r="A113" s="85" t="s">
        <v>56</v>
      </c>
      <c r="B113" s="89"/>
      <c r="C113" s="76">
        <v>8</v>
      </c>
      <c r="D113" s="76">
        <v>8</v>
      </c>
      <c r="E113" s="100">
        <v>205761</v>
      </c>
      <c r="F113" s="100">
        <v>686902</v>
      </c>
      <c r="G113" s="100">
        <v>892663</v>
      </c>
      <c r="H113" s="96">
        <v>38</v>
      </c>
      <c r="I113" s="100">
        <v>0</v>
      </c>
      <c r="J113" s="100">
        <v>1160224</v>
      </c>
      <c r="K113" s="100">
        <v>1160224</v>
      </c>
      <c r="L113" s="96">
        <v>40</v>
      </c>
      <c r="M113" s="100">
        <v>0</v>
      </c>
      <c r="N113" s="100">
        <v>1161824</v>
      </c>
      <c r="O113" s="100">
        <v>1161824</v>
      </c>
      <c r="P113" s="96">
        <v>42</v>
      </c>
      <c r="Q113" s="100">
        <v>0</v>
      </c>
      <c r="R113" s="100">
        <v>1161824</v>
      </c>
      <c r="S113" s="100">
        <v>1161824</v>
      </c>
      <c r="T113" s="96">
        <v>42</v>
      </c>
      <c r="U113" s="100">
        <v>0</v>
      </c>
      <c r="V113" s="100">
        <v>1161824</v>
      </c>
      <c r="W113" s="100">
        <v>1161824</v>
      </c>
      <c r="X113" s="96">
        <v>42</v>
      </c>
    </row>
    <row r="114" spans="1:24">
      <c r="A114" s="86" t="s">
        <v>56</v>
      </c>
      <c r="B114" s="90"/>
      <c r="C114" s="77">
        <v>8</v>
      </c>
      <c r="D114" s="77">
        <v>9</v>
      </c>
      <c r="E114" s="101">
        <v>0</v>
      </c>
      <c r="F114" s="101">
        <v>1489334</v>
      </c>
      <c r="G114" s="101">
        <v>1489334</v>
      </c>
      <c r="H114" s="97">
        <v>2</v>
      </c>
      <c r="I114" s="101">
        <v>0</v>
      </c>
      <c r="J114" s="101">
        <v>1489334</v>
      </c>
      <c r="K114" s="101">
        <v>1489334</v>
      </c>
      <c r="L114" s="97">
        <v>2</v>
      </c>
      <c r="M114" s="101">
        <v>0</v>
      </c>
      <c r="N114" s="101">
        <v>1489334</v>
      </c>
      <c r="O114" s="101">
        <v>1489334</v>
      </c>
      <c r="P114" s="97">
        <v>2</v>
      </c>
      <c r="Q114" s="101">
        <v>0</v>
      </c>
      <c r="R114" s="101">
        <v>1489334</v>
      </c>
      <c r="S114" s="101">
        <v>1489334</v>
      </c>
      <c r="T114" s="97">
        <v>2</v>
      </c>
      <c r="U114" s="101">
        <v>0</v>
      </c>
      <c r="V114" s="101">
        <v>1489334</v>
      </c>
      <c r="W114" s="101">
        <v>1489334</v>
      </c>
      <c r="X114" s="97">
        <v>2</v>
      </c>
    </row>
    <row r="115" spans="1:24">
      <c r="A115" s="85" t="s">
        <v>56</v>
      </c>
      <c r="B115" s="89"/>
      <c r="C115" s="76">
        <v>9</v>
      </c>
      <c r="D115" s="76">
        <v>1</v>
      </c>
      <c r="E115" s="100">
        <v>66556</v>
      </c>
      <c r="F115" s="100">
        <v>30300</v>
      </c>
      <c r="G115" s="100">
        <v>96856</v>
      </c>
      <c r="H115" s="96">
        <v>6</v>
      </c>
      <c r="I115" s="100">
        <v>30000</v>
      </c>
      <c r="J115" s="100">
        <v>544422</v>
      </c>
      <c r="K115" s="100">
        <v>574422</v>
      </c>
      <c r="L115" s="96">
        <v>8</v>
      </c>
      <c r="M115" s="100">
        <v>0</v>
      </c>
      <c r="N115" s="100">
        <v>544422</v>
      </c>
      <c r="O115" s="100">
        <v>544422</v>
      </c>
      <c r="P115" s="96">
        <v>9</v>
      </c>
      <c r="Q115" s="100">
        <v>0</v>
      </c>
      <c r="R115" s="100">
        <v>544422</v>
      </c>
      <c r="S115" s="100">
        <v>544422</v>
      </c>
      <c r="T115" s="96">
        <v>9</v>
      </c>
      <c r="U115" s="100">
        <v>0</v>
      </c>
      <c r="V115" s="100">
        <v>544422</v>
      </c>
      <c r="W115" s="100">
        <v>544422</v>
      </c>
      <c r="X115" s="96">
        <v>9</v>
      </c>
    </row>
    <row r="116" spans="1:24">
      <c r="A116" s="86" t="s">
        <v>56</v>
      </c>
      <c r="B116" s="90"/>
      <c r="C116" s="77">
        <v>9</v>
      </c>
      <c r="D116" s="77">
        <v>2</v>
      </c>
      <c r="E116" s="101">
        <v>12053865</v>
      </c>
      <c r="F116" s="101">
        <v>7332964</v>
      </c>
      <c r="G116" s="101">
        <v>19386829</v>
      </c>
      <c r="H116" s="97">
        <v>115</v>
      </c>
      <c r="I116" s="101">
        <v>13664218</v>
      </c>
      <c r="J116" s="101">
        <v>15931371</v>
      </c>
      <c r="K116" s="101">
        <v>29595589</v>
      </c>
      <c r="L116" s="97">
        <v>135</v>
      </c>
      <c r="M116" s="101">
        <v>16556746</v>
      </c>
      <c r="N116" s="101">
        <v>28876338</v>
      </c>
      <c r="O116" s="101">
        <v>45433084</v>
      </c>
      <c r="P116" s="97">
        <v>137</v>
      </c>
      <c r="Q116" s="101">
        <v>35587256</v>
      </c>
      <c r="R116" s="101">
        <v>32731454</v>
      </c>
      <c r="S116" s="101">
        <v>68318710</v>
      </c>
      <c r="T116" s="97">
        <v>139</v>
      </c>
      <c r="U116" s="101">
        <v>181414227</v>
      </c>
      <c r="V116" s="101">
        <v>60260306</v>
      </c>
      <c r="W116" s="101">
        <v>241674533</v>
      </c>
      <c r="X116" s="97">
        <v>139</v>
      </c>
    </row>
    <row r="117" spans="1:24">
      <c r="A117" s="85" t="s">
        <v>56</v>
      </c>
      <c r="B117" s="89"/>
      <c r="C117" s="76">
        <v>9</v>
      </c>
      <c r="D117" s="76">
        <v>3</v>
      </c>
      <c r="E117" s="100">
        <v>70157909</v>
      </c>
      <c r="F117" s="100">
        <v>168405844</v>
      </c>
      <c r="G117" s="100">
        <v>238563753</v>
      </c>
      <c r="H117" s="96">
        <v>2796</v>
      </c>
      <c r="I117" s="100">
        <v>17835893</v>
      </c>
      <c r="J117" s="100">
        <v>293988174</v>
      </c>
      <c r="K117" s="100">
        <v>311824067</v>
      </c>
      <c r="L117" s="96">
        <v>2908</v>
      </c>
      <c r="M117" s="100">
        <v>4712844</v>
      </c>
      <c r="N117" s="100">
        <v>307908365</v>
      </c>
      <c r="O117" s="100">
        <v>312621209</v>
      </c>
      <c r="P117" s="96">
        <v>2964</v>
      </c>
      <c r="Q117" s="100">
        <v>5944029</v>
      </c>
      <c r="R117" s="100">
        <v>312712704</v>
      </c>
      <c r="S117" s="100">
        <v>318656733</v>
      </c>
      <c r="T117" s="96">
        <v>2968</v>
      </c>
      <c r="U117" s="100">
        <v>1298210</v>
      </c>
      <c r="V117" s="100">
        <v>321985030</v>
      </c>
      <c r="W117" s="100">
        <v>323283240</v>
      </c>
      <c r="X117" s="96">
        <v>2968</v>
      </c>
    </row>
    <row r="118" spans="1:24">
      <c r="A118" s="86" t="s">
        <v>56</v>
      </c>
      <c r="B118" s="90"/>
      <c r="C118" s="77">
        <v>9</v>
      </c>
      <c r="D118" s="77">
        <v>4</v>
      </c>
      <c r="E118" s="101">
        <v>68595</v>
      </c>
      <c r="F118" s="101">
        <v>4074864</v>
      </c>
      <c r="G118" s="101">
        <v>4143459</v>
      </c>
      <c r="H118" s="97">
        <v>15</v>
      </c>
      <c r="I118" s="101">
        <v>240405</v>
      </c>
      <c r="J118" s="101">
        <v>4089864</v>
      </c>
      <c r="K118" s="101">
        <v>4330269</v>
      </c>
      <c r="L118" s="97">
        <v>15</v>
      </c>
      <c r="M118" s="101">
        <v>897265</v>
      </c>
      <c r="N118" s="101">
        <v>4089864</v>
      </c>
      <c r="O118" s="101">
        <v>4987129</v>
      </c>
      <c r="P118" s="97">
        <v>15</v>
      </c>
      <c r="Q118" s="101">
        <v>702500</v>
      </c>
      <c r="R118" s="101">
        <v>4118134</v>
      </c>
      <c r="S118" s="101">
        <v>4820634</v>
      </c>
      <c r="T118" s="97">
        <v>15</v>
      </c>
      <c r="U118" s="101">
        <v>503158</v>
      </c>
      <c r="V118" s="101">
        <v>17268008</v>
      </c>
      <c r="W118" s="101">
        <v>17771166</v>
      </c>
      <c r="X118" s="97">
        <v>15</v>
      </c>
    </row>
    <row r="119" spans="1:24">
      <c r="A119" s="85" t="s">
        <v>56</v>
      </c>
      <c r="B119" s="89"/>
      <c r="C119" s="76">
        <v>9</v>
      </c>
      <c r="D119" s="76">
        <v>5</v>
      </c>
      <c r="E119" s="100">
        <v>224990</v>
      </c>
      <c r="F119" s="100">
        <v>5800960</v>
      </c>
      <c r="G119" s="100">
        <v>6025950</v>
      </c>
      <c r="H119" s="96">
        <v>6</v>
      </c>
      <c r="I119" s="100">
        <v>0</v>
      </c>
      <c r="J119" s="100">
        <v>5800960</v>
      </c>
      <c r="K119" s="100">
        <v>5800960</v>
      </c>
      <c r="L119" s="96">
        <v>6</v>
      </c>
      <c r="M119" s="100">
        <v>0</v>
      </c>
      <c r="N119" s="100">
        <v>5800960</v>
      </c>
      <c r="O119" s="100">
        <v>5800960</v>
      </c>
      <c r="P119" s="96">
        <v>6</v>
      </c>
      <c r="Q119" s="100">
        <v>0</v>
      </c>
      <c r="R119" s="100">
        <v>5800960</v>
      </c>
      <c r="S119" s="100">
        <v>5800960</v>
      </c>
      <c r="T119" s="96">
        <v>6</v>
      </c>
      <c r="U119" s="100">
        <v>0</v>
      </c>
      <c r="V119" s="100">
        <v>5800960</v>
      </c>
      <c r="W119" s="100">
        <v>5800960</v>
      </c>
      <c r="X119" s="96">
        <v>6</v>
      </c>
    </row>
    <row r="120" spans="1:24">
      <c r="A120" s="86" t="s">
        <v>56</v>
      </c>
      <c r="B120" s="90"/>
      <c r="C120" s="77">
        <v>9</v>
      </c>
      <c r="D120" s="77">
        <v>6</v>
      </c>
      <c r="E120" s="101">
        <v>22883628</v>
      </c>
      <c r="F120" s="101">
        <v>29941803</v>
      </c>
      <c r="G120" s="101">
        <v>52825431</v>
      </c>
      <c r="H120" s="97">
        <v>124</v>
      </c>
      <c r="I120" s="101">
        <v>14003593</v>
      </c>
      <c r="J120" s="101">
        <v>67861921</v>
      </c>
      <c r="K120" s="101">
        <v>81865514</v>
      </c>
      <c r="L120" s="97">
        <v>128</v>
      </c>
      <c r="M120" s="101">
        <v>4000</v>
      </c>
      <c r="N120" s="101">
        <v>68934919</v>
      </c>
      <c r="O120" s="101">
        <v>68938919</v>
      </c>
      <c r="P120" s="97">
        <v>128</v>
      </c>
      <c r="Q120" s="101">
        <v>4000</v>
      </c>
      <c r="R120" s="101">
        <v>69184919</v>
      </c>
      <c r="S120" s="101">
        <v>69188919</v>
      </c>
      <c r="T120" s="97">
        <v>128</v>
      </c>
      <c r="U120" s="101">
        <v>0</v>
      </c>
      <c r="V120" s="101">
        <v>69184919</v>
      </c>
      <c r="W120" s="101">
        <v>69184919</v>
      </c>
      <c r="X120" s="97">
        <v>128</v>
      </c>
    </row>
    <row r="121" spans="1:24">
      <c r="A121" s="85" t="s">
        <v>56</v>
      </c>
      <c r="B121" s="89"/>
      <c r="C121" s="76">
        <v>9</v>
      </c>
      <c r="D121" s="76">
        <v>7</v>
      </c>
      <c r="E121" s="100">
        <v>262370512</v>
      </c>
      <c r="F121" s="100">
        <v>539220739</v>
      </c>
      <c r="G121" s="100">
        <v>801591251</v>
      </c>
      <c r="H121" s="96">
        <v>71</v>
      </c>
      <c r="I121" s="100">
        <v>25954656</v>
      </c>
      <c r="J121" s="100">
        <v>755568805</v>
      </c>
      <c r="K121" s="100">
        <v>781523461</v>
      </c>
      <c r="L121" s="96">
        <v>77</v>
      </c>
      <c r="M121" s="100">
        <v>12526512</v>
      </c>
      <c r="N121" s="100">
        <v>755568805</v>
      </c>
      <c r="O121" s="100">
        <v>768095317</v>
      </c>
      <c r="P121" s="96">
        <v>77</v>
      </c>
      <c r="Q121" s="100">
        <v>0</v>
      </c>
      <c r="R121" s="100">
        <v>755568805</v>
      </c>
      <c r="S121" s="100">
        <v>755568805</v>
      </c>
      <c r="T121" s="96">
        <v>77</v>
      </c>
      <c r="U121" s="100">
        <v>0</v>
      </c>
      <c r="V121" s="100">
        <v>755568805</v>
      </c>
      <c r="W121" s="100">
        <v>755568805</v>
      </c>
      <c r="X121" s="96">
        <v>77</v>
      </c>
    </row>
    <row r="122" spans="1:24">
      <c r="A122" s="86" t="s">
        <v>56</v>
      </c>
      <c r="B122" s="90"/>
      <c r="C122" s="77">
        <v>9</v>
      </c>
      <c r="D122" s="77">
        <v>8</v>
      </c>
      <c r="E122" s="101">
        <v>111952</v>
      </c>
      <c r="F122" s="101">
        <v>23110</v>
      </c>
      <c r="G122" s="101">
        <v>135062</v>
      </c>
      <c r="H122" s="97">
        <v>22</v>
      </c>
      <c r="I122" s="101">
        <v>0</v>
      </c>
      <c r="J122" s="101">
        <v>23110</v>
      </c>
      <c r="K122" s="101">
        <v>23110</v>
      </c>
      <c r="L122" s="97">
        <v>23</v>
      </c>
      <c r="M122" s="101">
        <v>0</v>
      </c>
      <c r="N122" s="101">
        <v>23110</v>
      </c>
      <c r="O122" s="101">
        <v>23110</v>
      </c>
      <c r="P122" s="97">
        <v>23</v>
      </c>
      <c r="Q122" s="101">
        <v>0</v>
      </c>
      <c r="R122" s="101">
        <v>23110</v>
      </c>
      <c r="S122" s="101">
        <v>23110</v>
      </c>
      <c r="T122" s="97">
        <v>23</v>
      </c>
      <c r="U122" s="101">
        <v>0</v>
      </c>
      <c r="V122" s="101">
        <v>67316301</v>
      </c>
      <c r="W122" s="101">
        <v>67316301</v>
      </c>
      <c r="X122" s="97">
        <v>24</v>
      </c>
    </row>
    <row r="123" spans="1:24">
      <c r="A123" s="85" t="s">
        <v>56</v>
      </c>
      <c r="B123" s="89"/>
      <c r="C123" s="76">
        <v>9</v>
      </c>
      <c r="D123" s="76">
        <v>9</v>
      </c>
      <c r="E123" s="100">
        <v>59278582</v>
      </c>
      <c r="F123" s="100">
        <v>1430777</v>
      </c>
      <c r="G123" s="100">
        <v>60709359</v>
      </c>
      <c r="H123" s="96">
        <v>39</v>
      </c>
      <c r="I123" s="100">
        <v>1</v>
      </c>
      <c r="J123" s="100">
        <v>4830777</v>
      </c>
      <c r="K123" s="100">
        <v>4830778</v>
      </c>
      <c r="L123" s="96">
        <v>41</v>
      </c>
      <c r="M123" s="100">
        <v>0</v>
      </c>
      <c r="N123" s="100">
        <v>4830777</v>
      </c>
      <c r="O123" s="100">
        <v>4830777</v>
      </c>
      <c r="P123" s="96">
        <v>41</v>
      </c>
      <c r="Q123" s="100">
        <v>0</v>
      </c>
      <c r="R123" s="100">
        <v>4830777</v>
      </c>
      <c r="S123" s="100">
        <v>4830777</v>
      </c>
      <c r="T123" s="96">
        <v>41</v>
      </c>
      <c r="U123" s="100">
        <v>0</v>
      </c>
      <c r="V123" s="100">
        <v>4830777</v>
      </c>
      <c r="W123" s="100">
        <v>4830777</v>
      </c>
      <c r="X123" s="96">
        <v>41</v>
      </c>
    </row>
    <row r="124" spans="1:24">
      <c r="A124" s="86" t="s">
        <v>56</v>
      </c>
      <c r="B124" s="90"/>
      <c r="C124" s="77">
        <v>10</v>
      </c>
      <c r="D124" s="77">
        <v>1</v>
      </c>
      <c r="E124" s="101">
        <v>2293424</v>
      </c>
      <c r="F124" s="101">
        <v>163960</v>
      </c>
      <c r="G124" s="101">
        <v>2457384</v>
      </c>
      <c r="H124" s="97">
        <v>53</v>
      </c>
      <c r="I124" s="101">
        <v>2402061</v>
      </c>
      <c r="J124" s="101">
        <v>913752</v>
      </c>
      <c r="K124" s="101">
        <v>3315813</v>
      </c>
      <c r="L124" s="97">
        <v>63</v>
      </c>
      <c r="M124" s="101">
        <v>7487458</v>
      </c>
      <c r="N124" s="101">
        <v>921995</v>
      </c>
      <c r="O124" s="101">
        <v>8409453</v>
      </c>
      <c r="P124" s="97">
        <v>77</v>
      </c>
      <c r="Q124" s="101">
        <v>7716753</v>
      </c>
      <c r="R124" s="101">
        <v>1008095</v>
      </c>
      <c r="S124" s="101">
        <v>8724848</v>
      </c>
      <c r="T124" s="97">
        <v>77</v>
      </c>
      <c r="U124" s="101">
        <v>11001998</v>
      </c>
      <c r="V124" s="101">
        <v>1380321</v>
      </c>
      <c r="W124" s="101">
        <v>12382319</v>
      </c>
      <c r="X124" s="97">
        <v>77</v>
      </c>
    </row>
    <row r="125" spans="1:24">
      <c r="A125" s="85" t="s">
        <v>56</v>
      </c>
      <c r="B125" s="89"/>
      <c r="C125" s="76">
        <v>10</v>
      </c>
      <c r="D125" s="76">
        <v>2</v>
      </c>
      <c r="E125" s="100">
        <v>41106343</v>
      </c>
      <c r="F125" s="100">
        <v>8963592</v>
      </c>
      <c r="G125" s="100">
        <v>50069935</v>
      </c>
      <c r="H125" s="96">
        <v>656</v>
      </c>
      <c r="I125" s="100">
        <v>54938507</v>
      </c>
      <c r="J125" s="100">
        <v>39776132</v>
      </c>
      <c r="K125" s="100">
        <v>94714639</v>
      </c>
      <c r="L125" s="96">
        <v>754</v>
      </c>
      <c r="M125" s="100">
        <v>89589069</v>
      </c>
      <c r="N125" s="100">
        <v>61734909</v>
      </c>
      <c r="O125" s="100">
        <v>151323978</v>
      </c>
      <c r="P125" s="96">
        <v>807</v>
      </c>
      <c r="Q125" s="100">
        <v>143570277</v>
      </c>
      <c r="R125" s="100">
        <v>98156620</v>
      </c>
      <c r="S125" s="100">
        <v>241726897</v>
      </c>
      <c r="T125" s="96">
        <v>815</v>
      </c>
      <c r="U125" s="100">
        <v>253626292</v>
      </c>
      <c r="V125" s="100">
        <v>364637115</v>
      </c>
      <c r="W125" s="100">
        <v>618263407</v>
      </c>
      <c r="X125" s="96">
        <v>820</v>
      </c>
    </row>
    <row r="126" spans="1:24">
      <c r="A126" s="86" t="s">
        <v>56</v>
      </c>
      <c r="B126" s="90"/>
      <c r="C126" s="77">
        <v>10</v>
      </c>
      <c r="D126" s="77">
        <v>3</v>
      </c>
      <c r="E126" s="101">
        <v>137680175</v>
      </c>
      <c r="F126" s="101">
        <v>190208943</v>
      </c>
      <c r="G126" s="101">
        <v>327889118</v>
      </c>
      <c r="H126" s="97">
        <v>13689</v>
      </c>
      <c r="I126" s="101">
        <v>55526385</v>
      </c>
      <c r="J126" s="101">
        <v>334823185</v>
      </c>
      <c r="K126" s="101">
        <v>390349570</v>
      </c>
      <c r="L126" s="97">
        <v>14576</v>
      </c>
      <c r="M126" s="101">
        <v>45161421</v>
      </c>
      <c r="N126" s="101">
        <v>358657516</v>
      </c>
      <c r="O126" s="101">
        <v>403818937</v>
      </c>
      <c r="P126" s="97">
        <v>15583</v>
      </c>
      <c r="Q126" s="101">
        <v>37088395</v>
      </c>
      <c r="R126" s="101">
        <v>404665540</v>
      </c>
      <c r="S126" s="101">
        <v>441753935</v>
      </c>
      <c r="T126" s="97">
        <v>15603</v>
      </c>
      <c r="U126" s="101">
        <v>40400286</v>
      </c>
      <c r="V126" s="101">
        <v>432046730</v>
      </c>
      <c r="W126" s="101">
        <v>472447016</v>
      </c>
      <c r="X126" s="97">
        <v>15609</v>
      </c>
    </row>
    <row r="127" spans="1:24">
      <c r="A127" s="85" t="s">
        <v>56</v>
      </c>
      <c r="B127" s="89"/>
      <c r="C127" s="76">
        <v>10</v>
      </c>
      <c r="D127" s="76">
        <v>4</v>
      </c>
      <c r="E127" s="100">
        <v>8047340</v>
      </c>
      <c r="F127" s="100">
        <v>59448570</v>
      </c>
      <c r="G127" s="100">
        <v>67495910</v>
      </c>
      <c r="H127" s="96">
        <v>538</v>
      </c>
      <c r="I127" s="100">
        <v>342357</v>
      </c>
      <c r="J127" s="100">
        <v>86860036</v>
      </c>
      <c r="K127" s="100">
        <v>87202393</v>
      </c>
      <c r="L127" s="96">
        <v>573</v>
      </c>
      <c r="M127" s="100">
        <v>4000</v>
      </c>
      <c r="N127" s="100">
        <v>87247053</v>
      </c>
      <c r="O127" s="100">
        <v>87251053</v>
      </c>
      <c r="P127" s="96">
        <v>573</v>
      </c>
      <c r="Q127" s="100">
        <v>0</v>
      </c>
      <c r="R127" s="100">
        <v>87498451</v>
      </c>
      <c r="S127" s="100">
        <v>87498451</v>
      </c>
      <c r="T127" s="96">
        <v>573</v>
      </c>
      <c r="U127" s="100">
        <v>0</v>
      </c>
      <c r="V127" s="100">
        <v>87498451</v>
      </c>
      <c r="W127" s="100">
        <v>87498451</v>
      </c>
      <c r="X127" s="96">
        <v>573</v>
      </c>
    </row>
    <row r="128" spans="1:24">
      <c r="A128" s="86" t="s">
        <v>56</v>
      </c>
      <c r="B128" s="90"/>
      <c r="C128" s="77">
        <v>10</v>
      </c>
      <c r="D128" s="77">
        <v>5</v>
      </c>
      <c r="E128" s="101">
        <v>26643552</v>
      </c>
      <c r="F128" s="101">
        <v>68448934</v>
      </c>
      <c r="G128" s="101">
        <v>95092486</v>
      </c>
      <c r="H128" s="97">
        <v>85</v>
      </c>
      <c r="I128" s="101">
        <v>6180951</v>
      </c>
      <c r="J128" s="101">
        <v>86989048</v>
      </c>
      <c r="K128" s="101">
        <v>93169999</v>
      </c>
      <c r="L128" s="97">
        <v>94</v>
      </c>
      <c r="M128" s="101">
        <v>29000</v>
      </c>
      <c r="N128" s="101">
        <v>89785597</v>
      </c>
      <c r="O128" s="101">
        <v>89814597</v>
      </c>
      <c r="P128" s="97">
        <v>94</v>
      </c>
      <c r="Q128" s="101">
        <v>29000</v>
      </c>
      <c r="R128" s="101">
        <v>89796762</v>
      </c>
      <c r="S128" s="101">
        <v>89825762</v>
      </c>
      <c r="T128" s="97">
        <v>96</v>
      </c>
      <c r="U128" s="101">
        <v>160000</v>
      </c>
      <c r="V128" s="101">
        <v>115283442</v>
      </c>
      <c r="W128" s="101">
        <v>115443442</v>
      </c>
      <c r="X128" s="97">
        <v>103</v>
      </c>
    </row>
    <row r="129" spans="1:24">
      <c r="A129" s="85" t="s">
        <v>56</v>
      </c>
      <c r="B129" s="89"/>
      <c r="C129" s="76">
        <v>10</v>
      </c>
      <c r="D129" s="76">
        <v>6</v>
      </c>
      <c r="E129" s="100">
        <v>3925343</v>
      </c>
      <c r="F129" s="100">
        <v>11103003</v>
      </c>
      <c r="G129" s="100">
        <v>15028346</v>
      </c>
      <c r="H129" s="96">
        <v>35</v>
      </c>
      <c r="I129" s="100">
        <v>181620</v>
      </c>
      <c r="J129" s="100">
        <v>14738023</v>
      </c>
      <c r="K129" s="100">
        <v>14919643</v>
      </c>
      <c r="L129" s="96">
        <v>41</v>
      </c>
      <c r="M129" s="100">
        <v>0</v>
      </c>
      <c r="N129" s="100">
        <v>21097771</v>
      </c>
      <c r="O129" s="100">
        <v>21097771</v>
      </c>
      <c r="P129" s="96">
        <v>42</v>
      </c>
      <c r="Q129" s="100">
        <v>0</v>
      </c>
      <c r="R129" s="100">
        <v>21097771</v>
      </c>
      <c r="S129" s="100">
        <v>21097771</v>
      </c>
      <c r="T129" s="96">
        <v>42</v>
      </c>
      <c r="U129" s="100">
        <v>0</v>
      </c>
      <c r="V129" s="100">
        <v>21097771</v>
      </c>
      <c r="W129" s="100">
        <v>21097771</v>
      </c>
      <c r="X129" s="96">
        <v>42</v>
      </c>
    </row>
    <row r="130" spans="1:24">
      <c r="A130" s="86" t="s">
        <v>56</v>
      </c>
      <c r="B130" s="90"/>
      <c r="C130" s="77">
        <v>10</v>
      </c>
      <c r="D130" s="77">
        <v>7</v>
      </c>
      <c r="E130" s="101">
        <v>17977728</v>
      </c>
      <c r="F130" s="101">
        <v>37576145</v>
      </c>
      <c r="G130" s="101">
        <v>55553873</v>
      </c>
      <c r="H130" s="97">
        <v>49</v>
      </c>
      <c r="I130" s="101">
        <v>200000</v>
      </c>
      <c r="J130" s="101">
        <v>58891432</v>
      </c>
      <c r="K130" s="101">
        <v>59091432</v>
      </c>
      <c r="L130" s="97">
        <v>50</v>
      </c>
      <c r="M130" s="101">
        <v>0</v>
      </c>
      <c r="N130" s="101">
        <v>60167179</v>
      </c>
      <c r="O130" s="101">
        <v>60167179</v>
      </c>
      <c r="P130" s="97">
        <v>50</v>
      </c>
      <c r="Q130" s="101">
        <v>0</v>
      </c>
      <c r="R130" s="101">
        <v>60167179</v>
      </c>
      <c r="S130" s="101">
        <v>60167179</v>
      </c>
      <c r="T130" s="97">
        <v>50</v>
      </c>
      <c r="U130" s="101">
        <v>0</v>
      </c>
      <c r="V130" s="101">
        <v>61685040</v>
      </c>
      <c r="W130" s="101">
        <v>61685040</v>
      </c>
      <c r="X130" s="97">
        <v>50</v>
      </c>
    </row>
    <row r="131" spans="1:24">
      <c r="A131" s="85" t="s">
        <v>56</v>
      </c>
      <c r="B131" s="89"/>
      <c r="C131" s="76">
        <v>10</v>
      </c>
      <c r="D131" s="76">
        <v>8</v>
      </c>
      <c r="E131" s="100">
        <v>10488449</v>
      </c>
      <c r="F131" s="100">
        <v>41227685</v>
      </c>
      <c r="G131" s="100">
        <v>51716134</v>
      </c>
      <c r="H131" s="96">
        <v>735</v>
      </c>
      <c r="I131" s="100">
        <v>545800</v>
      </c>
      <c r="J131" s="100">
        <v>59192036</v>
      </c>
      <c r="K131" s="100">
        <v>59737836</v>
      </c>
      <c r="L131" s="96">
        <v>781</v>
      </c>
      <c r="M131" s="100">
        <v>8500</v>
      </c>
      <c r="N131" s="100">
        <v>62493452</v>
      </c>
      <c r="O131" s="100">
        <v>62501952</v>
      </c>
      <c r="P131" s="96">
        <v>782</v>
      </c>
      <c r="Q131" s="100">
        <v>8500</v>
      </c>
      <c r="R131" s="100">
        <v>62493452</v>
      </c>
      <c r="S131" s="100">
        <v>62501952</v>
      </c>
      <c r="T131" s="96">
        <v>782</v>
      </c>
      <c r="U131" s="100">
        <v>0</v>
      </c>
      <c r="V131" s="100">
        <v>62599873</v>
      </c>
      <c r="W131" s="100">
        <v>62599873</v>
      </c>
      <c r="X131" s="96">
        <v>783</v>
      </c>
    </row>
    <row r="132" spans="1:24">
      <c r="A132" s="86" t="s">
        <v>56</v>
      </c>
      <c r="B132" s="90"/>
      <c r="C132" s="77">
        <v>10</v>
      </c>
      <c r="D132" s="77">
        <v>9</v>
      </c>
      <c r="E132" s="101">
        <v>86280582</v>
      </c>
      <c r="F132" s="101">
        <v>130596736</v>
      </c>
      <c r="G132" s="101">
        <v>216877318</v>
      </c>
      <c r="H132" s="97">
        <v>191</v>
      </c>
      <c r="I132" s="101">
        <v>1257685</v>
      </c>
      <c r="J132" s="101">
        <v>198415502</v>
      </c>
      <c r="K132" s="101">
        <v>199673187</v>
      </c>
      <c r="L132" s="97">
        <v>204</v>
      </c>
      <c r="M132" s="101">
        <v>0</v>
      </c>
      <c r="N132" s="101">
        <v>202573328</v>
      </c>
      <c r="O132" s="101">
        <v>202573328</v>
      </c>
      <c r="P132" s="97">
        <v>205</v>
      </c>
      <c r="Q132" s="101">
        <v>0</v>
      </c>
      <c r="R132" s="101">
        <v>202578597</v>
      </c>
      <c r="S132" s="101">
        <v>202578597</v>
      </c>
      <c r="T132" s="97">
        <v>206</v>
      </c>
      <c r="U132" s="101">
        <v>0</v>
      </c>
      <c r="V132" s="101">
        <v>204556097</v>
      </c>
      <c r="W132" s="101">
        <v>204556097</v>
      </c>
      <c r="X132" s="97">
        <v>206</v>
      </c>
    </row>
    <row r="133" spans="1:24">
      <c r="A133" s="85" t="s">
        <v>56</v>
      </c>
      <c r="B133" s="89"/>
      <c r="C133" s="76">
        <v>20</v>
      </c>
      <c r="D133" s="76">
        <v>1</v>
      </c>
      <c r="E133" s="100">
        <v>13560</v>
      </c>
      <c r="F133" s="100">
        <v>1417856</v>
      </c>
      <c r="G133" s="100">
        <v>1431416</v>
      </c>
      <c r="H133" s="96">
        <v>161</v>
      </c>
      <c r="I133" s="100">
        <v>3690219</v>
      </c>
      <c r="J133" s="100">
        <v>3408538</v>
      </c>
      <c r="K133" s="100">
        <v>7098757</v>
      </c>
      <c r="L133" s="96">
        <v>174</v>
      </c>
      <c r="M133" s="100">
        <v>11003482</v>
      </c>
      <c r="N133" s="100">
        <v>3471802</v>
      </c>
      <c r="O133" s="100">
        <v>14475284</v>
      </c>
      <c r="P133" s="96">
        <v>297</v>
      </c>
      <c r="Q133" s="100">
        <v>17829709</v>
      </c>
      <c r="R133" s="100">
        <v>3471802</v>
      </c>
      <c r="S133" s="100">
        <v>21301511</v>
      </c>
      <c r="T133" s="96">
        <v>297</v>
      </c>
      <c r="U133" s="100">
        <v>39380678</v>
      </c>
      <c r="V133" s="100">
        <v>3771802</v>
      </c>
      <c r="W133" s="100">
        <v>43152480</v>
      </c>
      <c r="X133" s="96">
        <v>297</v>
      </c>
    </row>
    <row r="134" spans="1:24">
      <c r="A134" s="86" t="s">
        <v>56</v>
      </c>
      <c r="B134" s="90"/>
      <c r="C134" s="77">
        <v>20</v>
      </c>
      <c r="D134" s="77">
        <v>2</v>
      </c>
      <c r="E134" s="101">
        <v>27847376</v>
      </c>
      <c r="F134" s="101">
        <v>20505228</v>
      </c>
      <c r="G134" s="101">
        <v>48352604</v>
      </c>
      <c r="H134" s="97">
        <v>617</v>
      </c>
      <c r="I134" s="101">
        <v>125519316</v>
      </c>
      <c r="J134" s="101">
        <v>40914882</v>
      </c>
      <c r="K134" s="101">
        <v>166434198</v>
      </c>
      <c r="L134" s="97">
        <v>802</v>
      </c>
      <c r="M134" s="101">
        <v>76066209</v>
      </c>
      <c r="N134" s="101">
        <v>44898227</v>
      </c>
      <c r="O134" s="101">
        <v>120964436</v>
      </c>
      <c r="P134" s="97">
        <v>950</v>
      </c>
      <c r="Q134" s="101">
        <v>136709825</v>
      </c>
      <c r="R134" s="101">
        <v>50104708</v>
      </c>
      <c r="S134" s="101">
        <v>186814533</v>
      </c>
      <c r="T134" s="97">
        <v>960</v>
      </c>
      <c r="U134" s="101">
        <v>386414571</v>
      </c>
      <c r="V134" s="101">
        <v>162277661</v>
      </c>
      <c r="W134" s="101">
        <v>548692232</v>
      </c>
      <c r="X134" s="97">
        <v>965</v>
      </c>
    </row>
    <row r="135" spans="1:24">
      <c r="A135" s="85" t="s">
        <v>56</v>
      </c>
      <c r="B135" s="89"/>
      <c r="C135" s="76">
        <v>20</v>
      </c>
      <c r="D135" s="76">
        <v>3</v>
      </c>
      <c r="E135" s="100">
        <v>13006976</v>
      </c>
      <c r="F135" s="100">
        <v>36579914</v>
      </c>
      <c r="G135" s="100">
        <v>49586890</v>
      </c>
      <c r="H135" s="96">
        <v>4602</v>
      </c>
      <c r="I135" s="100">
        <v>17077149</v>
      </c>
      <c r="J135" s="100">
        <v>56003740</v>
      </c>
      <c r="K135" s="100">
        <v>73080889</v>
      </c>
      <c r="L135" s="96">
        <v>4916</v>
      </c>
      <c r="M135" s="100">
        <v>8362420</v>
      </c>
      <c r="N135" s="100">
        <v>57511531</v>
      </c>
      <c r="O135" s="100">
        <v>65873951</v>
      </c>
      <c r="P135" s="96">
        <v>7779</v>
      </c>
      <c r="Q135" s="100">
        <v>18933470</v>
      </c>
      <c r="R135" s="100">
        <v>58115630</v>
      </c>
      <c r="S135" s="100">
        <v>77049100</v>
      </c>
      <c r="T135" s="96">
        <v>7803</v>
      </c>
      <c r="U135" s="100">
        <v>73756222</v>
      </c>
      <c r="V135" s="100">
        <v>83010293</v>
      </c>
      <c r="W135" s="100">
        <v>156766515</v>
      </c>
      <c r="X135" s="96">
        <v>7805</v>
      </c>
    </row>
    <row r="136" spans="1:24">
      <c r="A136" s="86" t="s">
        <v>56</v>
      </c>
      <c r="B136" s="90"/>
      <c r="C136" s="77">
        <v>20</v>
      </c>
      <c r="D136" s="77">
        <v>4</v>
      </c>
      <c r="E136" s="101">
        <v>46280</v>
      </c>
      <c r="F136" s="101">
        <v>4552596</v>
      </c>
      <c r="G136" s="101">
        <v>4598876</v>
      </c>
      <c r="H136" s="97">
        <v>348</v>
      </c>
      <c r="I136" s="101">
        <v>0</v>
      </c>
      <c r="J136" s="101">
        <v>5901302</v>
      </c>
      <c r="K136" s="101">
        <v>5901302</v>
      </c>
      <c r="L136" s="97">
        <v>423</v>
      </c>
      <c r="M136" s="101">
        <v>0</v>
      </c>
      <c r="N136" s="101">
        <v>5901302</v>
      </c>
      <c r="O136" s="101">
        <v>5901302</v>
      </c>
      <c r="P136" s="97">
        <v>423</v>
      </c>
      <c r="Q136" s="101">
        <v>0</v>
      </c>
      <c r="R136" s="101">
        <v>5901302</v>
      </c>
      <c r="S136" s="101">
        <v>5901302</v>
      </c>
      <c r="T136" s="97">
        <v>423</v>
      </c>
      <c r="U136" s="101">
        <v>0</v>
      </c>
      <c r="V136" s="101">
        <v>5901302</v>
      </c>
      <c r="W136" s="101">
        <v>5901302</v>
      </c>
      <c r="X136" s="97">
        <v>423</v>
      </c>
    </row>
    <row r="137" spans="1:24">
      <c r="A137" s="85" t="s">
        <v>56</v>
      </c>
      <c r="B137" s="89"/>
      <c r="C137" s="76">
        <v>20</v>
      </c>
      <c r="D137" s="76">
        <v>5</v>
      </c>
      <c r="E137" s="100">
        <v>0</v>
      </c>
      <c r="F137" s="100">
        <v>13138010</v>
      </c>
      <c r="G137" s="100">
        <v>13138010</v>
      </c>
      <c r="H137" s="96">
        <v>69</v>
      </c>
      <c r="I137" s="100">
        <v>0</v>
      </c>
      <c r="J137" s="100">
        <v>20014856</v>
      </c>
      <c r="K137" s="100">
        <v>20014856</v>
      </c>
      <c r="L137" s="96">
        <v>89</v>
      </c>
      <c r="M137" s="100">
        <v>0</v>
      </c>
      <c r="N137" s="100">
        <v>20014856</v>
      </c>
      <c r="O137" s="100">
        <v>20014856</v>
      </c>
      <c r="P137" s="96">
        <v>89</v>
      </c>
      <c r="Q137" s="100">
        <v>0</v>
      </c>
      <c r="R137" s="100">
        <v>20076130</v>
      </c>
      <c r="S137" s="100">
        <v>20076130</v>
      </c>
      <c r="T137" s="96">
        <v>97</v>
      </c>
      <c r="U137" s="100">
        <v>0</v>
      </c>
      <c r="V137" s="100">
        <v>34825930</v>
      </c>
      <c r="W137" s="100">
        <v>34825930</v>
      </c>
      <c r="X137" s="96">
        <v>100</v>
      </c>
    </row>
    <row r="138" spans="1:24">
      <c r="A138" s="86" t="s">
        <v>56</v>
      </c>
      <c r="B138" s="90"/>
      <c r="C138" s="77">
        <v>20</v>
      </c>
      <c r="D138" s="77">
        <v>6</v>
      </c>
      <c r="E138" s="101">
        <v>96711</v>
      </c>
      <c r="F138" s="101">
        <v>807386</v>
      </c>
      <c r="G138" s="101">
        <v>904097</v>
      </c>
      <c r="H138" s="97">
        <v>15</v>
      </c>
      <c r="I138" s="101">
        <v>0</v>
      </c>
      <c r="J138" s="101">
        <v>1250292</v>
      </c>
      <c r="K138" s="101">
        <v>1250292</v>
      </c>
      <c r="L138" s="97">
        <v>19</v>
      </c>
      <c r="M138" s="101">
        <v>0</v>
      </c>
      <c r="N138" s="101">
        <v>1250292</v>
      </c>
      <c r="O138" s="101">
        <v>1250292</v>
      </c>
      <c r="P138" s="97">
        <v>19</v>
      </c>
      <c r="Q138" s="101">
        <v>0</v>
      </c>
      <c r="R138" s="101">
        <v>1250292</v>
      </c>
      <c r="S138" s="101">
        <v>1250292</v>
      </c>
      <c r="T138" s="97">
        <v>19</v>
      </c>
      <c r="U138" s="101">
        <v>0</v>
      </c>
      <c r="V138" s="101">
        <v>1250292</v>
      </c>
      <c r="W138" s="101">
        <v>1250292</v>
      </c>
      <c r="X138" s="97">
        <v>19</v>
      </c>
    </row>
    <row r="139" spans="1:24">
      <c r="A139" s="85" t="s">
        <v>56</v>
      </c>
      <c r="B139" s="89"/>
      <c r="C139" s="76">
        <v>20</v>
      </c>
      <c r="D139" s="76">
        <v>7</v>
      </c>
      <c r="E139" s="100">
        <v>0</v>
      </c>
      <c r="F139" s="100">
        <v>3194206</v>
      </c>
      <c r="G139" s="100">
        <v>3194206</v>
      </c>
      <c r="H139" s="96">
        <v>14</v>
      </c>
      <c r="I139" s="100">
        <v>0</v>
      </c>
      <c r="J139" s="100">
        <v>7271406</v>
      </c>
      <c r="K139" s="100">
        <v>7271406</v>
      </c>
      <c r="L139" s="96">
        <v>19</v>
      </c>
      <c r="M139" s="100">
        <v>0</v>
      </c>
      <c r="N139" s="100">
        <v>7271406</v>
      </c>
      <c r="O139" s="100">
        <v>7271406</v>
      </c>
      <c r="P139" s="96">
        <v>19</v>
      </c>
      <c r="Q139" s="100">
        <v>0</v>
      </c>
      <c r="R139" s="100">
        <v>7271406</v>
      </c>
      <c r="S139" s="100">
        <v>7271406</v>
      </c>
      <c r="T139" s="96">
        <v>19</v>
      </c>
      <c r="U139" s="100">
        <v>0</v>
      </c>
      <c r="V139" s="100">
        <v>7271406</v>
      </c>
      <c r="W139" s="100">
        <v>7271406</v>
      </c>
      <c r="X139" s="96">
        <v>19</v>
      </c>
    </row>
    <row r="140" spans="1:24">
      <c r="A140" s="86" t="s">
        <v>56</v>
      </c>
      <c r="B140" s="90"/>
      <c r="C140" s="77">
        <v>20</v>
      </c>
      <c r="D140" s="77">
        <v>8</v>
      </c>
      <c r="E140" s="101">
        <v>1403848</v>
      </c>
      <c r="F140" s="101">
        <v>21516297</v>
      </c>
      <c r="G140" s="101">
        <v>22920145</v>
      </c>
      <c r="H140" s="97">
        <v>686</v>
      </c>
      <c r="I140" s="101">
        <v>13500</v>
      </c>
      <c r="J140" s="101">
        <v>26340112</v>
      </c>
      <c r="K140" s="101">
        <v>26353612</v>
      </c>
      <c r="L140" s="97">
        <v>795</v>
      </c>
      <c r="M140" s="101">
        <v>4000</v>
      </c>
      <c r="N140" s="101">
        <v>26453576</v>
      </c>
      <c r="O140" s="101">
        <v>26457576</v>
      </c>
      <c r="P140" s="97">
        <v>795</v>
      </c>
      <c r="Q140" s="101">
        <v>4000</v>
      </c>
      <c r="R140" s="101">
        <v>26453576</v>
      </c>
      <c r="S140" s="101">
        <v>26457576</v>
      </c>
      <c r="T140" s="97">
        <v>795</v>
      </c>
      <c r="U140" s="101">
        <v>0</v>
      </c>
      <c r="V140" s="101">
        <v>26453576</v>
      </c>
      <c r="W140" s="101">
        <v>26453576</v>
      </c>
      <c r="X140" s="97">
        <v>795</v>
      </c>
    </row>
    <row r="141" spans="1:24">
      <c r="A141" s="85" t="s">
        <v>56</v>
      </c>
      <c r="B141" s="89"/>
      <c r="C141" s="76">
        <v>20</v>
      </c>
      <c r="D141" s="76">
        <v>9</v>
      </c>
      <c r="E141" s="100">
        <v>26536040</v>
      </c>
      <c r="F141" s="100">
        <v>9466747</v>
      </c>
      <c r="G141" s="100">
        <v>36002787</v>
      </c>
      <c r="H141" s="96">
        <v>79</v>
      </c>
      <c r="I141" s="100">
        <v>163600</v>
      </c>
      <c r="J141" s="100">
        <v>11749478</v>
      </c>
      <c r="K141" s="100">
        <v>11913078</v>
      </c>
      <c r="L141" s="96">
        <v>103</v>
      </c>
      <c r="M141" s="100">
        <v>0</v>
      </c>
      <c r="N141" s="100">
        <v>11749478</v>
      </c>
      <c r="O141" s="100">
        <v>11749478</v>
      </c>
      <c r="P141" s="96">
        <v>103</v>
      </c>
      <c r="Q141" s="100">
        <v>0</v>
      </c>
      <c r="R141" s="100">
        <v>11749478</v>
      </c>
      <c r="S141" s="100">
        <v>11749478</v>
      </c>
      <c r="T141" s="96">
        <v>103</v>
      </c>
      <c r="U141" s="100">
        <v>0</v>
      </c>
      <c r="V141" s="100">
        <v>12890478</v>
      </c>
      <c r="W141" s="100">
        <v>12890478</v>
      </c>
      <c r="X141" s="96">
        <v>104</v>
      </c>
    </row>
    <row r="142" spans="1:24">
      <c r="A142" s="86" t="s">
        <v>56</v>
      </c>
      <c r="B142" s="90"/>
      <c r="C142" s="77">
        <v>21</v>
      </c>
      <c r="D142" s="77">
        <v>1</v>
      </c>
      <c r="E142" s="101">
        <v>13807602</v>
      </c>
      <c r="F142" s="101">
        <v>17111222</v>
      </c>
      <c r="G142" s="101">
        <v>30918824</v>
      </c>
      <c r="H142" s="97">
        <v>364</v>
      </c>
      <c r="I142" s="101">
        <v>12962405</v>
      </c>
      <c r="J142" s="101">
        <v>55878066</v>
      </c>
      <c r="K142" s="101">
        <v>68840471</v>
      </c>
      <c r="L142" s="97">
        <v>382</v>
      </c>
      <c r="M142" s="101">
        <v>21428594</v>
      </c>
      <c r="N142" s="101">
        <v>76619122</v>
      </c>
      <c r="O142" s="101">
        <v>98047716</v>
      </c>
      <c r="P142" s="97">
        <v>404</v>
      </c>
      <c r="Q142" s="101">
        <v>10922878</v>
      </c>
      <c r="R142" s="101">
        <v>78657853</v>
      </c>
      <c r="S142" s="101">
        <v>89580731</v>
      </c>
      <c r="T142" s="97">
        <v>404</v>
      </c>
      <c r="U142" s="101">
        <v>10496599</v>
      </c>
      <c r="V142" s="101">
        <v>103669053</v>
      </c>
      <c r="W142" s="101">
        <v>114165652</v>
      </c>
      <c r="X142" s="97">
        <v>405</v>
      </c>
    </row>
    <row r="143" spans="1:24">
      <c r="A143" s="85" t="s">
        <v>56</v>
      </c>
      <c r="B143" s="89"/>
      <c r="C143" s="76">
        <v>21</v>
      </c>
      <c r="D143" s="76">
        <v>2</v>
      </c>
      <c r="E143" s="100">
        <v>38177921</v>
      </c>
      <c r="F143" s="100">
        <v>11255364</v>
      </c>
      <c r="G143" s="100">
        <v>49433285</v>
      </c>
      <c r="H143" s="96">
        <v>622</v>
      </c>
      <c r="I143" s="100">
        <v>35482481</v>
      </c>
      <c r="J143" s="100">
        <v>29866559</v>
      </c>
      <c r="K143" s="100">
        <v>65349040</v>
      </c>
      <c r="L143" s="96">
        <v>695</v>
      </c>
      <c r="M143" s="100">
        <v>67791001</v>
      </c>
      <c r="N143" s="100">
        <v>49568381</v>
      </c>
      <c r="O143" s="100">
        <v>117359382</v>
      </c>
      <c r="P143" s="96">
        <v>728</v>
      </c>
      <c r="Q143" s="100">
        <v>83514847</v>
      </c>
      <c r="R143" s="100">
        <v>92305231</v>
      </c>
      <c r="S143" s="100">
        <v>175820078</v>
      </c>
      <c r="T143" s="96">
        <v>729</v>
      </c>
      <c r="U143" s="100">
        <v>222155249</v>
      </c>
      <c r="V143" s="100">
        <v>256403773</v>
      </c>
      <c r="W143" s="100">
        <v>478559022</v>
      </c>
      <c r="X143" s="96">
        <v>731</v>
      </c>
    </row>
    <row r="144" spans="1:24">
      <c r="A144" s="86" t="s">
        <v>56</v>
      </c>
      <c r="B144" s="90"/>
      <c r="C144" s="77">
        <v>21</v>
      </c>
      <c r="D144" s="77">
        <v>3</v>
      </c>
      <c r="E144" s="101">
        <v>26632171</v>
      </c>
      <c r="F144" s="101">
        <v>30012800</v>
      </c>
      <c r="G144" s="101">
        <v>56644971</v>
      </c>
      <c r="H144" s="97">
        <v>2959</v>
      </c>
      <c r="I144" s="101">
        <v>19300777</v>
      </c>
      <c r="J144" s="101">
        <v>44768664</v>
      </c>
      <c r="K144" s="101">
        <v>64069441</v>
      </c>
      <c r="L144" s="97">
        <v>3098</v>
      </c>
      <c r="M144" s="101">
        <v>20108581</v>
      </c>
      <c r="N144" s="101">
        <v>45863070</v>
      </c>
      <c r="O144" s="101">
        <v>65971651</v>
      </c>
      <c r="P144" s="97">
        <v>4058</v>
      </c>
      <c r="Q144" s="101">
        <v>31651581</v>
      </c>
      <c r="R144" s="101">
        <v>49146281</v>
      </c>
      <c r="S144" s="101">
        <v>80797862</v>
      </c>
      <c r="T144" s="97">
        <v>4067</v>
      </c>
      <c r="U144" s="101">
        <v>60036137</v>
      </c>
      <c r="V144" s="101">
        <v>56785706</v>
      </c>
      <c r="W144" s="101">
        <v>116821843</v>
      </c>
      <c r="X144" s="97">
        <v>4068</v>
      </c>
    </row>
    <row r="145" spans="1:24">
      <c r="A145" s="85" t="s">
        <v>56</v>
      </c>
      <c r="B145" s="89"/>
      <c r="C145" s="76">
        <v>21</v>
      </c>
      <c r="D145" s="76">
        <v>4</v>
      </c>
      <c r="E145" s="100">
        <v>987119</v>
      </c>
      <c r="F145" s="100">
        <v>6590661</v>
      </c>
      <c r="G145" s="100">
        <v>7577780</v>
      </c>
      <c r="H145" s="96">
        <v>209</v>
      </c>
      <c r="I145" s="100">
        <v>49197</v>
      </c>
      <c r="J145" s="100">
        <v>8381825</v>
      </c>
      <c r="K145" s="100">
        <v>8431022</v>
      </c>
      <c r="L145" s="96">
        <v>216</v>
      </c>
      <c r="M145" s="100">
        <v>0</v>
      </c>
      <c r="N145" s="100">
        <v>8408271</v>
      </c>
      <c r="O145" s="100">
        <v>8408271</v>
      </c>
      <c r="P145" s="96">
        <v>216</v>
      </c>
      <c r="Q145" s="100">
        <v>0</v>
      </c>
      <c r="R145" s="100">
        <v>8408271</v>
      </c>
      <c r="S145" s="100">
        <v>8408271</v>
      </c>
      <c r="T145" s="96">
        <v>216</v>
      </c>
      <c r="U145" s="100">
        <v>0</v>
      </c>
      <c r="V145" s="100">
        <v>8408271</v>
      </c>
      <c r="W145" s="100">
        <v>8408271</v>
      </c>
      <c r="X145" s="96">
        <v>216</v>
      </c>
    </row>
    <row r="146" spans="1:24">
      <c r="A146" s="86" t="s">
        <v>56</v>
      </c>
      <c r="B146" s="90"/>
      <c r="C146" s="77">
        <v>21</v>
      </c>
      <c r="D146" s="77">
        <v>5</v>
      </c>
      <c r="E146" s="101">
        <v>10131935</v>
      </c>
      <c r="F146" s="101">
        <v>12763640</v>
      </c>
      <c r="G146" s="101">
        <v>22895575</v>
      </c>
      <c r="H146" s="97">
        <v>59</v>
      </c>
      <c r="I146" s="101">
        <v>145146</v>
      </c>
      <c r="J146" s="101">
        <v>24576989</v>
      </c>
      <c r="K146" s="101">
        <v>24722135</v>
      </c>
      <c r="L146" s="97">
        <v>62</v>
      </c>
      <c r="M146" s="101">
        <v>0</v>
      </c>
      <c r="N146" s="101">
        <v>24962570</v>
      </c>
      <c r="O146" s="101">
        <v>24962570</v>
      </c>
      <c r="P146" s="97">
        <v>64</v>
      </c>
      <c r="Q146" s="101">
        <v>0</v>
      </c>
      <c r="R146" s="101">
        <v>25246105</v>
      </c>
      <c r="S146" s="101">
        <v>25246105</v>
      </c>
      <c r="T146" s="97">
        <v>64</v>
      </c>
      <c r="U146" s="101">
        <v>0</v>
      </c>
      <c r="V146" s="101">
        <v>29503905</v>
      </c>
      <c r="W146" s="101">
        <v>29503905</v>
      </c>
      <c r="X146" s="97">
        <v>65</v>
      </c>
    </row>
    <row r="147" spans="1:24">
      <c r="A147" s="85" t="s">
        <v>56</v>
      </c>
      <c r="B147" s="89"/>
      <c r="C147" s="76">
        <v>21</v>
      </c>
      <c r="D147" s="76">
        <v>6</v>
      </c>
      <c r="E147" s="100">
        <v>13500</v>
      </c>
      <c r="F147" s="100">
        <v>171638</v>
      </c>
      <c r="G147" s="100">
        <v>185138</v>
      </c>
      <c r="H147" s="96">
        <v>5</v>
      </c>
      <c r="I147" s="100">
        <v>0</v>
      </c>
      <c r="J147" s="100">
        <v>742512</v>
      </c>
      <c r="K147" s="100">
        <v>742512</v>
      </c>
      <c r="L147" s="96">
        <v>6</v>
      </c>
      <c r="M147" s="100">
        <v>0</v>
      </c>
      <c r="N147" s="100">
        <v>742512</v>
      </c>
      <c r="O147" s="100">
        <v>742512</v>
      </c>
      <c r="P147" s="96">
        <v>6</v>
      </c>
      <c r="Q147" s="100">
        <v>0</v>
      </c>
      <c r="R147" s="100">
        <v>742512</v>
      </c>
      <c r="S147" s="100">
        <v>742512</v>
      </c>
      <c r="T147" s="96">
        <v>6</v>
      </c>
      <c r="U147" s="100">
        <v>0</v>
      </c>
      <c r="V147" s="100">
        <v>742512</v>
      </c>
      <c r="W147" s="100">
        <v>742512</v>
      </c>
      <c r="X147" s="96">
        <v>6</v>
      </c>
    </row>
    <row r="148" spans="1:24">
      <c r="A148" s="86" t="s">
        <v>56</v>
      </c>
      <c r="B148" s="90"/>
      <c r="C148" s="77">
        <v>21</v>
      </c>
      <c r="D148" s="77">
        <v>7</v>
      </c>
      <c r="E148" s="101">
        <v>724000</v>
      </c>
      <c r="F148" s="101">
        <v>1407516</v>
      </c>
      <c r="G148" s="101">
        <v>2131516</v>
      </c>
      <c r="H148" s="97">
        <v>5</v>
      </c>
      <c r="I148" s="101">
        <v>0</v>
      </c>
      <c r="J148" s="101">
        <v>1865896</v>
      </c>
      <c r="K148" s="101">
        <v>1865896</v>
      </c>
      <c r="L148" s="97">
        <v>6</v>
      </c>
      <c r="M148" s="101">
        <v>0</v>
      </c>
      <c r="N148" s="101">
        <v>1868734</v>
      </c>
      <c r="O148" s="101">
        <v>1868734</v>
      </c>
      <c r="P148" s="97">
        <v>7</v>
      </c>
      <c r="Q148" s="101">
        <v>0</v>
      </c>
      <c r="R148" s="101">
        <v>1868734</v>
      </c>
      <c r="S148" s="101">
        <v>1868734</v>
      </c>
      <c r="T148" s="97">
        <v>7</v>
      </c>
      <c r="U148" s="101">
        <v>0</v>
      </c>
      <c r="V148" s="101">
        <v>1868734</v>
      </c>
      <c r="W148" s="101">
        <v>1868734</v>
      </c>
      <c r="X148" s="97">
        <v>7</v>
      </c>
    </row>
    <row r="149" spans="1:24">
      <c r="A149" s="85" t="s">
        <v>56</v>
      </c>
      <c r="B149" s="89"/>
      <c r="C149" s="76">
        <v>21</v>
      </c>
      <c r="D149" s="76">
        <v>8</v>
      </c>
      <c r="E149" s="100">
        <v>3107150</v>
      </c>
      <c r="F149" s="100">
        <v>22030906</v>
      </c>
      <c r="G149" s="100">
        <v>25138056</v>
      </c>
      <c r="H149" s="96">
        <v>626</v>
      </c>
      <c r="I149" s="100">
        <v>421244</v>
      </c>
      <c r="J149" s="100">
        <v>29034077</v>
      </c>
      <c r="K149" s="100">
        <v>29455321</v>
      </c>
      <c r="L149" s="96">
        <v>671</v>
      </c>
      <c r="M149" s="100">
        <v>185152</v>
      </c>
      <c r="N149" s="100">
        <v>29108796</v>
      </c>
      <c r="O149" s="100">
        <v>29293948</v>
      </c>
      <c r="P149" s="96">
        <v>672</v>
      </c>
      <c r="Q149" s="100">
        <v>12000</v>
      </c>
      <c r="R149" s="100">
        <v>29408796</v>
      </c>
      <c r="S149" s="100">
        <v>29420796</v>
      </c>
      <c r="T149" s="96">
        <v>672</v>
      </c>
      <c r="U149" s="100">
        <v>0</v>
      </c>
      <c r="V149" s="100">
        <v>29408796</v>
      </c>
      <c r="W149" s="100">
        <v>29408796</v>
      </c>
      <c r="X149" s="96">
        <v>672</v>
      </c>
    </row>
    <row r="150" spans="1:24">
      <c r="A150" s="86" t="s">
        <v>56</v>
      </c>
      <c r="B150" s="90"/>
      <c r="C150" s="77">
        <v>21</v>
      </c>
      <c r="D150" s="77">
        <v>9</v>
      </c>
      <c r="E150" s="101">
        <v>7937879</v>
      </c>
      <c r="F150" s="101">
        <v>11156572</v>
      </c>
      <c r="G150" s="101">
        <v>19094451</v>
      </c>
      <c r="H150" s="97">
        <v>41</v>
      </c>
      <c r="I150" s="101">
        <v>159263</v>
      </c>
      <c r="J150" s="101">
        <v>15592130</v>
      </c>
      <c r="K150" s="101">
        <v>15751393</v>
      </c>
      <c r="L150" s="97">
        <v>47</v>
      </c>
      <c r="M150" s="101">
        <v>0</v>
      </c>
      <c r="N150" s="101">
        <v>15592130</v>
      </c>
      <c r="O150" s="101">
        <v>15592130</v>
      </c>
      <c r="P150" s="97">
        <v>47</v>
      </c>
      <c r="Q150" s="101">
        <v>0</v>
      </c>
      <c r="R150" s="101">
        <v>15614930</v>
      </c>
      <c r="S150" s="101">
        <v>15614930</v>
      </c>
      <c r="T150" s="97">
        <v>47</v>
      </c>
      <c r="U150" s="101">
        <v>0</v>
      </c>
      <c r="V150" s="101">
        <v>15614930</v>
      </c>
      <c r="W150" s="101">
        <v>15614930</v>
      </c>
      <c r="X150" s="97">
        <v>47</v>
      </c>
    </row>
    <row r="151" spans="1:24">
      <c r="A151" s="85" t="s">
        <v>56</v>
      </c>
      <c r="B151" s="89"/>
      <c r="C151" s="76" t="s">
        <v>16</v>
      </c>
      <c r="D151" s="76">
        <v>1</v>
      </c>
      <c r="E151" s="100">
        <v>4679624</v>
      </c>
      <c r="F151" s="100">
        <v>375450</v>
      </c>
      <c r="G151" s="100">
        <v>5055074</v>
      </c>
      <c r="H151" s="96">
        <v>42</v>
      </c>
      <c r="I151" s="100">
        <v>1276620</v>
      </c>
      <c r="J151" s="100">
        <v>395450</v>
      </c>
      <c r="K151" s="100">
        <v>1672070</v>
      </c>
      <c r="L151" s="96">
        <v>48</v>
      </c>
      <c r="M151" s="100">
        <v>1002787</v>
      </c>
      <c r="N151" s="100">
        <v>410454</v>
      </c>
      <c r="O151" s="100">
        <v>1413241</v>
      </c>
      <c r="P151" s="96">
        <v>83</v>
      </c>
      <c r="Q151" s="100">
        <v>1506113</v>
      </c>
      <c r="R151" s="100">
        <v>422454</v>
      </c>
      <c r="S151" s="100">
        <v>1928567</v>
      </c>
      <c r="T151" s="96">
        <v>84</v>
      </c>
      <c r="U151" s="100">
        <v>3510000</v>
      </c>
      <c r="V151" s="100">
        <v>422454</v>
      </c>
      <c r="W151" s="100">
        <v>3932454</v>
      </c>
      <c r="X151" s="96">
        <v>84</v>
      </c>
    </row>
    <row r="152" spans="1:24">
      <c r="A152" s="86" t="s">
        <v>56</v>
      </c>
      <c r="B152" s="90"/>
      <c r="C152" s="77" t="s">
        <v>16</v>
      </c>
      <c r="D152" s="77">
        <v>2</v>
      </c>
      <c r="E152" s="101">
        <v>12882672</v>
      </c>
      <c r="F152" s="101">
        <v>2679336</v>
      </c>
      <c r="G152" s="101">
        <v>15562008</v>
      </c>
      <c r="H152" s="97">
        <v>132</v>
      </c>
      <c r="I152" s="101">
        <v>44389984</v>
      </c>
      <c r="J152" s="101">
        <v>9828036</v>
      </c>
      <c r="K152" s="101">
        <v>54218020</v>
      </c>
      <c r="L152" s="97">
        <v>180</v>
      </c>
      <c r="M152" s="101">
        <v>9284084</v>
      </c>
      <c r="N152" s="101">
        <v>13818850</v>
      </c>
      <c r="O152" s="101">
        <v>23102934</v>
      </c>
      <c r="P152" s="97">
        <v>214</v>
      </c>
      <c r="Q152" s="101">
        <v>35055895</v>
      </c>
      <c r="R152" s="101">
        <v>13857493</v>
      </c>
      <c r="S152" s="101">
        <v>48913388</v>
      </c>
      <c r="T152" s="97">
        <v>217</v>
      </c>
      <c r="U152" s="101">
        <v>33632455</v>
      </c>
      <c r="V152" s="101">
        <v>30126897</v>
      </c>
      <c r="W152" s="101">
        <v>63759352</v>
      </c>
      <c r="X152" s="97">
        <v>217</v>
      </c>
    </row>
    <row r="153" spans="1:24">
      <c r="A153" s="85" t="s">
        <v>56</v>
      </c>
      <c r="B153" s="89"/>
      <c r="C153" s="76" t="s">
        <v>16</v>
      </c>
      <c r="D153" s="76">
        <v>3</v>
      </c>
      <c r="E153" s="100">
        <v>1745142</v>
      </c>
      <c r="F153" s="100">
        <v>9469219</v>
      </c>
      <c r="G153" s="100">
        <v>11214361</v>
      </c>
      <c r="H153" s="96">
        <v>1001</v>
      </c>
      <c r="I153" s="100">
        <v>1991330</v>
      </c>
      <c r="J153" s="100">
        <v>14099854</v>
      </c>
      <c r="K153" s="100">
        <v>16091184</v>
      </c>
      <c r="L153" s="96">
        <v>1089</v>
      </c>
      <c r="M153" s="100">
        <v>881791</v>
      </c>
      <c r="N153" s="100">
        <v>16529226</v>
      </c>
      <c r="O153" s="100">
        <v>17411017</v>
      </c>
      <c r="P153" s="96">
        <v>1655</v>
      </c>
      <c r="Q153" s="100">
        <v>100547</v>
      </c>
      <c r="R153" s="100">
        <v>16623303</v>
      </c>
      <c r="S153" s="100">
        <v>16723850</v>
      </c>
      <c r="T153" s="96">
        <v>1663</v>
      </c>
      <c r="U153" s="100">
        <v>10709333</v>
      </c>
      <c r="V153" s="100">
        <v>17033803</v>
      </c>
      <c r="W153" s="100">
        <v>27743136</v>
      </c>
      <c r="X153" s="96">
        <v>1663</v>
      </c>
    </row>
    <row r="154" spans="1:24">
      <c r="A154" s="86" t="s">
        <v>56</v>
      </c>
      <c r="B154" s="90"/>
      <c r="C154" s="77" t="s">
        <v>16</v>
      </c>
      <c r="D154" s="77">
        <v>4</v>
      </c>
      <c r="E154" s="101">
        <v>0</v>
      </c>
      <c r="F154" s="101">
        <v>2859840</v>
      </c>
      <c r="G154" s="101">
        <v>2859840</v>
      </c>
      <c r="H154" s="97">
        <v>116</v>
      </c>
      <c r="I154" s="101">
        <v>0</v>
      </c>
      <c r="J154" s="101">
        <v>2974929</v>
      </c>
      <c r="K154" s="101">
        <v>2974929</v>
      </c>
      <c r="L154" s="97">
        <v>132</v>
      </c>
      <c r="M154" s="101">
        <v>0</v>
      </c>
      <c r="N154" s="101">
        <v>2974929</v>
      </c>
      <c r="O154" s="101">
        <v>2974929</v>
      </c>
      <c r="P154" s="97">
        <v>132</v>
      </c>
      <c r="Q154" s="101">
        <v>0</v>
      </c>
      <c r="R154" s="101">
        <v>2974929</v>
      </c>
      <c r="S154" s="101">
        <v>2974929</v>
      </c>
      <c r="T154" s="97">
        <v>132</v>
      </c>
      <c r="U154" s="101">
        <v>0</v>
      </c>
      <c r="V154" s="101">
        <v>2974929</v>
      </c>
      <c r="W154" s="101">
        <v>2974929</v>
      </c>
      <c r="X154" s="97">
        <v>132</v>
      </c>
    </row>
    <row r="155" spans="1:24">
      <c r="A155" s="85" t="s">
        <v>56</v>
      </c>
      <c r="B155" s="89"/>
      <c r="C155" s="76" t="s">
        <v>16</v>
      </c>
      <c r="D155" s="76">
        <v>5</v>
      </c>
      <c r="E155" s="100">
        <v>0</v>
      </c>
      <c r="F155" s="100">
        <v>4146530</v>
      </c>
      <c r="G155" s="100">
        <v>4146530</v>
      </c>
      <c r="H155" s="96">
        <v>11</v>
      </c>
      <c r="I155" s="100">
        <v>0</v>
      </c>
      <c r="J155" s="100">
        <v>4978530</v>
      </c>
      <c r="K155" s="100">
        <v>4978530</v>
      </c>
      <c r="L155" s="96">
        <v>13</v>
      </c>
      <c r="M155" s="100">
        <v>0</v>
      </c>
      <c r="N155" s="100">
        <v>4978530</v>
      </c>
      <c r="O155" s="100">
        <v>4978530</v>
      </c>
      <c r="P155" s="96">
        <v>13</v>
      </c>
      <c r="Q155" s="100">
        <v>0</v>
      </c>
      <c r="R155" s="100">
        <v>4978530</v>
      </c>
      <c r="S155" s="100">
        <v>4978530</v>
      </c>
      <c r="T155" s="96">
        <v>13</v>
      </c>
      <c r="U155" s="100">
        <v>0</v>
      </c>
      <c r="V155" s="100">
        <v>4978530</v>
      </c>
      <c r="W155" s="100">
        <v>4978530</v>
      </c>
      <c r="X155" s="96">
        <v>13</v>
      </c>
    </row>
    <row r="156" spans="1:24">
      <c r="A156" s="86" t="s">
        <v>56</v>
      </c>
      <c r="B156" s="90"/>
      <c r="C156" s="77" t="s">
        <v>16</v>
      </c>
      <c r="D156" s="77">
        <v>6</v>
      </c>
      <c r="E156" s="101">
        <v>0</v>
      </c>
      <c r="F156" s="101">
        <v>17116</v>
      </c>
      <c r="G156" s="101">
        <v>17116</v>
      </c>
      <c r="H156" s="97">
        <v>1</v>
      </c>
      <c r="I156" s="101">
        <v>0</v>
      </c>
      <c r="J156" s="101">
        <v>17116</v>
      </c>
      <c r="K156" s="101">
        <v>17116</v>
      </c>
      <c r="L156" s="97">
        <v>2</v>
      </c>
      <c r="M156" s="101">
        <v>0</v>
      </c>
      <c r="N156" s="101">
        <v>17116</v>
      </c>
      <c r="O156" s="101">
        <v>17116</v>
      </c>
      <c r="P156" s="97">
        <v>2</v>
      </c>
      <c r="Q156" s="101">
        <v>0</v>
      </c>
      <c r="R156" s="101">
        <v>17116</v>
      </c>
      <c r="S156" s="101">
        <v>17116</v>
      </c>
      <c r="T156" s="97">
        <v>2</v>
      </c>
      <c r="U156" s="101">
        <v>0</v>
      </c>
      <c r="V156" s="101">
        <v>17116</v>
      </c>
      <c r="W156" s="101">
        <v>17116</v>
      </c>
      <c r="X156" s="97">
        <v>2</v>
      </c>
    </row>
    <row r="157" spans="1:24">
      <c r="A157" s="85" t="s">
        <v>56</v>
      </c>
      <c r="B157" s="89"/>
      <c r="C157" s="76" t="s">
        <v>16</v>
      </c>
      <c r="D157" s="76">
        <v>7</v>
      </c>
      <c r="E157" s="100">
        <v>995000</v>
      </c>
      <c r="F157" s="100">
        <v>5194672</v>
      </c>
      <c r="G157" s="100">
        <v>6189672</v>
      </c>
      <c r="H157" s="96">
        <v>6</v>
      </c>
      <c r="I157" s="100">
        <v>0</v>
      </c>
      <c r="J157" s="100">
        <v>8084672</v>
      </c>
      <c r="K157" s="100">
        <v>8084672</v>
      </c>
      <c r="L157" s="96">
        <v>7</v>
      </c>
      <c r="M157" s="100">
        <v>0</v>
      </c>
      <c r="N157" s="100">
        <v>8084672</v>
      </c>
      <c r="O157" s="100">
        <v>8084672</v>
      </c>
      <c r="P157" s="96">
        <v>7</v>
      </c>
      <c r="Q157" s="100">
        <v>0</v>
      </c>
      <c r="R157" s="100">
        <v>8084672</v>
      </c>
      <c r="S157" s="100">
        <v>8084672</v>
      </c>
      <c r="T157" s="96">
        <v>7</v>
      </c>
      <c r="U157" s="100">
        <v>0</v>
      </c>
      <c r="V157" s="100">
        <v>8084672</v>
      </c>
      <c r="W157" s="100">
        <v>8084672</v>
      </c>
      <c r="X157" s="96">
        <v>7</v>
      </c>
    </row>
    <row r="158" spans="1:24">
      <c r="A158" s="86" t="s">
        <v>56</v>
      </c>
      <c r="B158" s="90"/>
      <c r="C158" s="77" t="s">
        <v>16</v>
      </c>
      <c r="D158" s="77">
        <v>8</v>
      </c>
      <c r="E158" s="101">
        <v>216034</v>
      </c>
      <c r="F158" s="101">
        <v>4284505</v>
      </c>
      <c r="G158" s="101">
        <v>4500539</v>
      </c>
      <c r="H158" s="97">
        <v>150</v>
      </c>
      <c r="I158" s="101">
        <v>0</v>
      </c>
      <c r="J158" s="101">
        <v>6353259</v>
      </c>
      <c r="K158" s="101">
        <v>6353259</v>
      </c>
      <c r="L158" s="97">
        <v>181</v>
      </c>
      <c r="M158" s="101">
        <v>0</v>
      </c>
      <c r="N158" s="101">
        <v>6420894</v>
      </c>
      <c r="O158" s="101">
        <v>6420894</v>
      </c>
      <c r="P158" s="97">
        <v>182</v>
      </c>
      <c r="Q158" s="101">
        <v>0</v>
      </c>
      <c r="R158" s="101">
        <v>6420894</v>
      </c>
      <c r="S158" s="101">
        <v>6420894</v>
      </c>
      <c r="T158" s="97">
        <v>182</v>
      </c>
      <c r="U158" s="101">
        <v>0</v>
      </c>
      <c r="V158" s="101">
        <v>6420894</v>
      </c>
      <c r="W158" s="101">
        <v>6420894</v>
      </c>
      <c r="X158" s="97">
        <v>182</v>
      </c>
    </row>
    <row r="159" spans="1:24">
      <c r="A159" s="85" t="s">
        <v>56</v>
      </c>
      <c r="B159" s="89"/>
      <c r="C159" s="76" t="s">
        <v>16</v>
      </c>
      <c r="D159" s="76">
        <v>9</v>
      </c>
      <c r="E159" s="100">
        <v>9761600</v>
      </c>
      <c r="F159" s="100">
        <v>1236497</v>
      </c>
      <c r="G159" s="100">
        <v>10998097</v>
      </c>
      <c r="H159" s="96">
        <v>18</v>
      </c>
      <c r="I159" s="100">
        <v>0</v>
      </c>
      <c r="J159" s="100">
        <v>3821497</v>
      </c>
      <c r="K159" s="100">
        <v>3821497</v>
      </c>
      <c r="L159" s="96">
        <v>26</v>
      </c>
      <c r="M159" s="100">
        <v>0</v>
      </c>
      <c r="N159" s="100">
        <v>3821497</v>
      </c>
      <c r="O159" s="100">
        <v>3821497</v>
      </c>
      <c r="P159" s="96">
        <v>26</v>
      </c>
      <c r="Q159" s="100">
        <v>0</v>
      </c>
      <c r="R159" s="100">
        <v>3821497</v>
      </c>
      <c r="S159" s="100">
        <v>3821497</v>
      </c>
      <c r="T159" s="96">
        <v>26</v>
      </c>
      <c r="U159" s="100">
        <v>0</v>
      </c>
      <c r="V159" s="100">
        <v>3821497</v>
      </c>
      <c r="W159" s="100">
        <v>3821497</v>
      </c>
      <c r="X159" s="96">
        <v>26</v>
      </c>
    </row>
    <row r="160" spans="1:24">
      <c r="A160" s="86" t="s">
        <v>56</v>
      </c>
      <c r="B160" s="90"/>
      <c r="C160" s="77" t="s">
        <v>17</v>
      </c>
      <c r="D160" s="77">
        <v>1</v>
      </c>
      <c r="E160" s="101">
        <v>605870</v>
      </c>
      <c r="F160" s="101">
        <v>336919</v>
      </c>
      <c r="G160" s="101">
        <v>942789</v>
      </c>
      <c r="H160" s="97">
        <v>19</v>
      </c>
      <c r="I160" s="101">
        <v>475434</v>
      </c>
      <c r="J160" s="101">
        <v>373237</v>
      </c>
      <c r="K160" s="101">
        <v>848671</v>
      </c>
      <c r="L160" s="97">
        <v>24</v>
      </c>
      <c r="M160" s="101">
        <v>2350337</v>
      </c>
      <c r="N160" s="101">
        <v>1748237</v>
      </c>
      <c r="O160" s="101">
        <v>4098574</v>
      </c>
      <c r="P160" s="97">
        <v>27</v>
      </c>
      <c r="Q160" s="101">
        <v>40000</v>
      </c>
      <c r="R160" s="101">
        <v>1748237</v>
      </c>
      <c r="S160" s="101">
        <v>1788237</v>
      </c>
      <c r="T160" s="97">
        <v>27</v>
      </c>
      <c r="U160" s="101">
        <v>0</v>
      </c>
      <c r="V160" s="101">
        <v>1748237</v>
      </c>
      <c r="W160" s="101">
        <v>1748237</v>
      </c>
      <c r="X160" s="97">
        <v>27</v>
      </c>
    </row>
    <row r="161" spans="1:24">
      <c r="A161" s="85" t="s">
        <v>56</v>
      </c>
      <c r="B161" s="89"/>
      <c r="C161" s="76" t="s">
        <v>17</v>
      </c>
      <c r="D161" s="76">
        <v>2</v>
      </c>
      <c r="E161" s="100">
        <v>15331507</v>
      </c>
      <c r="F161" s="100">
        <v>9326241</v>
      </c>
      <c r="G161" s="100">
        <v>24657748</v>
      </c>
      <c r="H161" s="96">
        <v>223</v>
      </c>
      <c r="I161" s="100">
        <v>16639072</v>
      </c>
      <c r="J161" s="100">
        <v>20981890</v>
      </c>
      <c r="K161" s="100">
        <v>37620962</v>
      </c>
      <c r="L161" s="96">
        <v>255</v>
      </c>
      <c r="M161" s="100">
        <v>18967763</v>
      </c>
      <c r="N161" s="100">
        <v>42769584</v>
      </c>
      <c r="O161" s="100">
        <v>61737347</v>
      </c>
      <c r="P161" s="96">
        <v>267</v>
      </c>
      <c r="Q161" s="100">
        <v>17399465</v>
      </c>
      <c r="R161" s="100">
        <v>104318596</v>
      </c>
      <c r="S161" s="100">
        <v>121718061</v>
      </c>
      <c r="T161" s="96">
        <v>268</v>
      </c>
      <c r="U161" s="100">
        <v>41626481</v>
      </c>
      <c r="V161" s="100">
        <v>197635983</v>
      </c>
      <c r="W161" s="100">
        <v>239262464</v>
      </c>
      <c r="X161" s="96">
        <v>268</v>
      </c>
    </row>
    <row r="162" spans="1:24">
      <c r="A162" s="86" t="s">
        <v>56</v>
      </c>
      <c r="B162" s="90"/>
      <c r="C162" s="77" t="s">
        <v>17</v>
      </c>
      <c r="D162" s="77">
        <v>3</v>
      </c>
      <c r="E162" s="101">
        <v>32259055</v>
      </c>
      <c r="F162" s="101">
        <v>26693829</v>
      </c>
      <c r="G162" s="101">
        <v>58952884</v>
      </c>
      <c r="H162" s="97">
        <v>2027</v>
      </c>
      <c r="I162" s="101">
        <v>20336699</v>
      </c>
      <c r="J162" s="101">
        <v>48377340</v>
      </c>
      <c r="K162" s="101">
        <v>68714039</v>
      </c>
      <c r="L162" s="97">
        <v>2129</v>
      </c>
      <c r="M162" s="101">
        <v>43253341</v>
      </c>
      <c r="N162" s="101">
        <v>60923373</v>
      </c>
      <c r="O162" s="101">
        <v>104176714</v>
      </c>
      <c r="P162" s="97">
        <v>2236</v>
      </c>
      <c r="Q162" s="101">
        <v>72990404</v>
      </c>
      <c r="R162" s="101">
        <v>72691974</v>
      </c>
      <c r="S162" s="101">
        <v>145682378</v>
      </c>
      <c r="T162" s="97">
        <v>2236</v>
      </c>
      <c r="U162" s="101">
        <v>75360099</v>
      </c>
      <c r="V162" s="101">
        <v>152635812</v>
      </c>
      <c r="W162" s="101">
        <v>227995911</v>
      </c>
      <c r="X162" s="97">
        <v>2236</v>
      </c>
    </row>
    <row r="163" spans="1:24">
      <c r="A163" s="85" t="s">
        <v>56</v>
      </c>
      <c r="B163" s="89"/>
      <c r="C163" s="76" t="s">
        <v>17</v>
      </c>
      <c r="D163" s="76">
        <v>4</v>
      </c>
      <c r="E163" s="100">
        <v>1477769</v>
      </c>
      <c r="F163" s="100">
        <v>8216188</v>
      </c>
      <c r="G163" s="100">
        <v>9693957</v>
      </c>
      <c r="H163" s="96">
        <v>186</v>
      </c>
      <c r="I163" s="100">
        <v>2400</v>
      </c>
      <c r="J163" s="100">
        <v>9529703</v>
      </c>
      <c r="K163" s="100">
        <v>9532103</v>
      </c>
      <c r="L163" s="96">
        <v>193</v>
      </c>
      <c r="M163" s="100">
        <v>0</v>
      </c>
      <c r="N163" s="100">
        <v>9722017</v>
      </c>
      <c r="O163" s="100">
        <v>9722017</v>
      </c>
      <c r="P163" s="96">
        <v>193</v>
      </c>
      <c r="Q163" s="100">
        <v>0</v>
      </c>
      <c r="R163" s="100">
        <v>9722017</v>
      </c>
      <c r="S163" s="100">
        <v>9722017</v>
      </c>
      <c r="T163" s="96">
        <v>193</v>
      </c>
      <c r="U163" s="100">
        <v>0</v>
      </c>
      <c r="V163" s="100">
        <v>9722017</v>
      </c>
      <c r="W163" s="100">
        <v>9722017</v>
      </c>
      <c r="X163" s="96">
        <v>193</v>
      </c>
    </row>
    <row r="164" spans="1:24">
      <c r="A164" s="86" t="s">
        <v>56</v>
      </c>
      <c r="B164" s="90"/>
      <c r="C164" s="77" t="s">
        <v>17</v>
      </c>
      <c r="D164" s="77">
        <v>5</v>
      </c>
      <c r="E164" s="101">
        <v>25559353</v>
      </c>
      <c r="F164" s="101">
        <v>34405846</v>
      </c>
      <c r="G164" s="101">
        <v>59965199</v>
      </c>
      <c r="H164" s="97">
        <v>31</v>
      </c>
      <c r="I164" s="101">
        <v>0</v>
      </c>
      <c r="J164" s="101">
        <v>60327999</v>
      </c>
      <c r="K164" s="101">
        <v>60327999</v>
      </c>
      <c r="L164" s="97">
        <v>32</v>
      </c>
      <c r="M164" s="101">
        <v>0</v>
      </c>
      <c r="N164" s="101">
        <v>62827999</v>
      </c>
      <c r="O164" s="101">
        <v>62827999</v>
      </c>
      <c r="P164" s="97">
        <v>32</v>
      </c>
      <c r="Q164" s="101">
        <v>0</v>
      </c>
      <c r="R164" s="101">
        <v>62827999</v>
      </c>
      <c r="S164" s="101">
        <v>62827999</v>
      </c>
      <c r="T164" s="97">
        <v>32</v>
      </c>
      <c r="U164" s="101">
        <v>0</v>
      </c>
      <c r="V164" s="101">
        <v>62827999</v>
      </c>
      <c r="W164" s="101">
        <v>62827999</v>
      </c>
      <c r="X164" s="97">
        <v>32</v>
      </c>
    </row>
    <row r="165" spans="1:24">
      <c r="A165" s="85" t="s">
        <v>56</v>
      </c>
      <c r="B165" s="89"/>
      <c r="C165" s="76" t="s">
        <v>17</v>
      </c>
      <c r="D165" s="76">
        <v>6</v>
      </c>
      <c r="E165" s="100">
        <v>993290</v>
      </c>
      <c r="F165" s="100">
        <v>2285647</v>
      </c>
      <c r="G165" s="100">
        <v>3278937</v>
      </c>
      <c r="H165" s="96">
        <v>27</v>
      </c>
      <c r="I165" s="100">
        <v>0</v>
      </c>
      <c r="J165" s="100">
        <v>2314737</v>
      </c>
      <c r="K165" s="100">
        <v>2314737</v>
      </c>
      <c r="L165" s="96">
        <v>28</v>
      </c>
      <c r="M165" s="100">
        <v>0</v>
      </c>
      <c r="N165" s="100">
        <v>2314737</v>
      </c>
      <c r="O165" s="100">
        <v>2314737</v>
      </c>
      <c r="P165" s="96">
        <v>28</v>
      </c>
      <c r="Q165" s="100">
        <v>0</v>
      </c>
      <c r="R165" s="100">
        <v>2314737</v>
      </c>
      <c r="S165" s="100">
        <v>2314737</v>
      </c>
      <c r="T165" s="96">
        <v>28</v>
      </c>
      <c r="U165" s="100">
        <v>0</v>
      </c>
      <c r="V165" s="100">
        <v>2314737</v>
      </c>
      <c r="W165" s="100">
        <v>2314737</v>
      </c>
      <c r="X165" s="96">
        <v>28</v>
      </c>
    </row>
    <row r="166" spans="1:24">
      <c r="A166" s="86" t="s">
        <v>56</v>
      </c>
      <c r="B166" s="90"/>
      <c r="C166" s="77" t="s">
        <v>17</v>
      </c>
      <c r="D166" s="77">
        <v>7</v>
      </c>
      <c r="E166" s="101">
        <v>198601</v>
      </c>
      <c r="F166" s="101">
        <v>4461852</v>
      </c>
      <c r="G166" s="101">
        <v>4660453</v>
      </c>
      <c r="H166" s="97">
        <v>5</v>
      </c>
      <c r="I166" s="101">
        <v>0</v>
      </c>
      <c r="J166" s="101">
        <v>6081952</v>
      </c>
      <c r="K166" s="101">
        <v>6081952</v>
      </c>
      <c r="L166" s="97">
        <v>8</v>
      </c>
      <c r="M166" s="101">
        <v>0</v>
      </c>
      <c r="N166" s="101">
        <v>6081952</v>
      </c>
      <c r="O166" s="101">
        <v>6081952</v>
      </c>
      <c r="P166" s="97">
        <v>8</v>
      </c>
      <c r="Q166" s="101">
        <v>0</v>
      </c>
      <c r="R166" s="101">
        <v>6081952</v>
      </c>
      <c r="S166" s="101">
        <v>6081952</v>
      </c>
      <c r="T166" s="97">
        <v>8</v>
      </c>
      <c r="U166" s="101">
        <v>0</v>
      </c>
      <c r="V166" s="101">
        <v>6081952</v>
      </c>
      <c r="W166" s="101">
        <v>6081952</v>
      </c>
      <c r="X166" s="97">
        <v>8</v>
      </c>
    </row>
    <row r="167" spans="1:24">
      <c r="A167" s="85" t="s">
        <v>56</v>
      </c>
      <c r="B167" s="89"/>
      <c r="C167" s="76" t="s">
        <v>17</v>
      </c>
      <c r="D167" s="76">
        <v>8</v>
      </c>
      <c r="E167" s="100">
        <v>23374450</v>
      </c>
      <c r="F167" s="100">
        <v>58360291</v>
      </c>
      <c r="G167" s="100">
        <v>81734741</v>
      </c>
      <c r="H167" s="96">
        <v>1446</v>
      </c>
      <c r="I167" s="100">
        <v>94090</v>
      </c>
      <c r="J167" s="100">
        <v>85245094</v>
      </c>
      <c r="K167" s="100">
        <v>85339184</v>
      </c>
      <c r="L167" s="96">
        <v>1498</v>
      </c>
      <c r="M167" s="100">
        <v>137000</v>
      </c>
      <c r="N167" s="100">
        <v>85824221</v>
      </c>
      <c r="O167" s="100">
        <v>85961221</v>
      </c>
      <c r="P167" s="96">
        <v>1499</v>
      </c>
      <c r="Q167" s="100">
        <v>310294</v>
      </c>
      <c r="R167" s="100">
        <v>85865874</v>
      </c>
      <c r="S167" s="100">
        <v>86176168</v>
      </c>
      <c r="T167" s="96">
        <v>1499</v>
      </c>
      <c r="U167" s="100">
        <v>0</v>
      </c>
      <c r="V167" s="100">
        <v>85865874</v>
      </c>
      <c r="W167" s="100">
        <v>85865874</v>
      </c>
      <c r="X167" s="96">
        <v>1499</v>
      </c>
    </row>
    <row r="168" spans="1:24">
      <c r="A168" s="86" t="s">
        <v>56</v>
      </c>
      <c r="B168" s="90"/>
      <c r="C168" s="77" t="s">
        <v>17</v>
      </c>
      <c r="D168" s="77">
        <v>9</v>
      </c>
      <c r="E168" s="101">
        <v>28613767</v>
      </c>
      <c r="F168" s="101">
        <v>27585310</v>
      </c>
      <c r="G168" s="101">
        <v>56199077</v>
      </c>
      <c r="H168" s="97">
        <v>29</v>
      </c>
      <c r="I168" s="101">
        <v>9889000</v>
      </c>
      <c r="J168" s="101">
        <v>30758528</v>
      </c>
      <c r="K168" s="101">
        <v>40647528</v>
      </c>
      <c r="L168" s="97">
        <v>30</v>
      </c>
      <c r="M168" s="101">
        <v>0</v>
      </c>
      <c r="N168" s="101">
        <v>30758528</v>
      </c>
      <c r="O168" s="101">
        <v>30758528</v>
      </c>
      <c r="P168" s="97">
        <v>30</v>
      </c>
      <c r="Q168" s="101">
        <v>0</v>
      </c>
      <c r="R168" s="101">
        <v>30758528</v>
      </c>
      <c r="S168" s="101">
        <v>30758528</v>
      </c>
      <c r="T168" s="97">
        <v>30</v>
      </c>
      <c r="U168" s="101">
        <v>0</v>
      </c>
      <c r="V168" s="101">
        <v>30758528</v>
      </c>
      <c r="W168" s="101">
        <v>30758528</v>
      </c>
      <c r="X168" s="97">
        <v>30</v>
      </c>
    </row>
    <row r="169" spans="1:24">
      <c r="A169" s="85" t="s">
        <v>56</v>
      </c>
      <c r="B169" s="89"/>
      <c r="C169" s="76" t="s">
        <v>18</v>
      </c>
      <c r="D169" s="76">
        <v>1</v>
      </c>
      <c r="E169" s="100">
        <v>60000</v>
      </c>
      <c r="F169" s="100">
        <v>3400</v>
      </c>
      <c r="G169" s="100">
        <v>63400</v>
      </c>
      <c r="H169" s="96">
        <v>5</v>
      </c>
      <c r="I169" s="100">
        <v>41000</v>
      </c>
      <c r="J169" s="100">
        <v>38304</v>
      </c>
      <c r="K169" s="100">
        <v>79304</v>
      </c>
      <c r="L169" s="96">
        <v>6</v>
      </c>
      <c r="M169" s="100">
        <v>0</v>
      </c>
      <c r="N169" s="100">
        <v>38304</v>
      </c>
      <c r="O169" s="100">
        <v>38304</v>
      </c>
      <c r="P169" s="96">
        <v>7</v>
      </c>
      <c r="Q169" s="100">
        <v>0</v>
      </c>
      <c r="R169" s="100">
        <v>38304</v>
      </c>
      <c r="S169" s="100">
        <v>38304</v>
      </c>
      <c r="T169" s="96">
        <v>7</v>
      </c>
      <c r="U169" s="100">
        <v>0</v>
      </c>
      <c r="V169" s="100">
        <v>38304</v>
      </c>
      <c r="W169" s="100">
        <v>38304</v>
      </c>
      <c r="X169" s="96">
        <v>7</v>
      </c>
    </row>
    <row r="170" spans="1:24">
      <c r="A170" s="86" t="s">
        <v>56</v>
      </c>
      <c r="B170" s="90"/>
      <c r="C170" s="77" t="s">
        <v>18</v>
      </c>
      <c r="D170" s="77">
        <v>2</v>
      </c>
      <c r="E170" s="101">
        <v>1849466</v>
      </c>
      <c r="F170" s="101">
        <v>1926997</v>
      </c>
      <c r="G170" s="101">
        <v>3776463</v>
      </c>
      <c r="H170" s="97">
        <v>38</v>
      </c>
      <c r="I170" s="101">
        <v>3405219</v>
      </c>
      <c r="J170" s="101">
        <v>3602644</v>
      </c>
      <c r="K170" s="101">
        <v>7007863</v>
      </c>
      <c r="L170" s="97">
        <v>52</v>
      </c>
      <c r="M170" s="101">
        <v>3114224</v>
      </c>
      <c r="N170" s="101">
        <v>3645316</v>
      </c>
      <c r="O170" s="101">
        <v>6759540</v>
      </c>
      <c r="P170" s="97">
        <v>53</v>
      </c>
      <c r="Q170" s="101">
        <v>2250000</v>
      </c>
      <c r="R170" s="101">
        <v>3965026</v>
      </c>
      <c r="S170" s="101">
        <v>6215026</v>
      </c>
      <c r="T170" s="97">
        <v>53</v>
      </c>
      <c r="U170" s="101">
        <v>4755050</v>
      </c>
      <c r="V170" s="101">
        <v>24299443</v>
      </c>
      <c r="W170" s="101">
        <v>29054493</v>
      </c>
      <c r="X170" s="97">
        <v>53</v>
      </c>
    </row>
    <row r="171" spans="1:24">
      <c r="A171" s="85" t="s">
        <v>56</v>
      </c>
      <c r="B171" s="89"/>
      <c r="C171" s="76" t="s">
        <v>18</v>
      </c>
      <c r="D171" s="76">
        <v>3</v>
      </c>
      <c r="E171" s="100">
        <v>9278314</v>
      </c>
      <c r="F171" s="100">
        <v>11126713</v>
      </c>
      <c r="G171" s="100">
        <v>20405027</v>
      </c>
      <c r="H171" s="96">
        <v>612</v>
      </c>
      <c r="I171" s="100">
        <v>6650448</v>
      </c>
      <c r="J171" s="100">
        <v>22031083</v>
      </c>
      <c r="K171" s="100">
        <v>28681531</v>
      </c>
      <c r="L171" s="96">
        <v>679</v>
      </c>
      <c r="M171" s="100">
        <v>1821088</v>
      </c>
      <c r="N171" s="100">
        <v>37083188</v>
      </c>
      <c r="O171" s="100">
        <v>38904276</v>
      </c>
      <c r="P171" s="96">
        <v>761</v>
      </c>
      <c r="Q171" s="100">
        <v>6212485</v>
      </c>
      <c r="R171" s="100">
        <v>79244592</v>
      </c>
      <c r="S171" s="100">
        <v>85457077</v>
      </c>
      <c r="T171" s="96">
        <v>763</v>
      </c>
      <c r="U171" s="100">
        <v>10194565</v>
      </c>
      <c r="V171" s="100">
        <v>87926118</v>
      </c>
      <c r="W171" s="100">
        <v>98120683</v>
      </c>
      <c r="X171" s="96">
        <v>763</v>
      </c>
    </row>
    <row r="172" spans="1:24">
      <c r="A172" s="86" t="s">
        <v>56</v>
      </c>
      <c r="B172" s="90"/>
      <c r="C172" s="77" t="s">
        <v>18</v>
      </c>
      <c r="D172" s="77">
        <v>4</v>
      </c>
      <c r="E172" s="101">
        <v>307203</v>
      </c>
      <c r="F172" s="101">
        <v>1935967</v>
      </c>
      <c r="G172" s="101">
        <v>2243170</v>
      </c>
      <c r="H172" s="97">
        <v>46</v>
      </c>
      <c r="I172" s="101">
        <v>0</v>
      </c>
      <c r="J172" s="101">
        <v>2472855</v>
      </c>
      <c r="K172" s="101">
        <v>2472855</v>
      </c>
      <c r="L172" s="97">
        <v>47</v>
      </c>
      <c r="M172" s="101">
        <v>0</v>
      </c>
      <c r="N172" s="101">
        <v>2472855</v>
      </c>
      <c r="O172" s="101">
        <v>2472855</v>
      </c>
      <c r="P172" s="97">
        <v>47</v>
      </c>
      <c r="Q172" s="101">
        <v>0</v>
      </c>
      <c r="R172" s="101">
        <v>2472855</v>
      </c>
      <c r="S172" s="101">
        <v>2472855</v>
      </c>
      <c r="T172" s="97">
        <v>47</v>
      </c>
      <c r="U172" s="101">
        <v>0</v>
      </c>
      <c r="V172" s="101">
        <v>2472855</v>
      </c>
      <c r="W172" s="101">
        <v>2472855</v>
      </c>
      <c r="X172" s="97">
        <v>47</v>
      </c>
    </row>
    <row r="173" spans="1:24">
      <c r="A173" s="85" t="s">
        <v>56</v>
      </c>
      <c r="B173" s="89"/>
      <c r="C173" s="76" t="s">
        <v>18</v>
      </c>
      <c r="D173" s="76">
        <v>5</v>
      </c>
      <c r="E173" s="100">
        <v>0</v>
      </c>
      <c r="F173" s="100">
        <v>0</v>
      </c>
      <c r="G173" s="100">
        <v>0</v>
      </c>
      <c r="H173" s="96">
        <v>0</v>
      </c>
      <c r="I173" s="100">
        <v>0</v>
      </c>
      <c r="J173" s="100">
        <v>0</v>
      </c>
      <c r="K173" s="100">
        <v>0</v>
      </c>
      <c r="L173" s="96">
        <v>0</v>
      </c>
      <c r="M173" s="100">
        <v>0</v>
      </c>
      <c r="N173" s="100">
        <v>0</v>
      </c>
      <c r="O173" s="100">
        <v>0</v>
      </c>
      <c r="P173" s="96">
        <v>0</v>
      </c>
      <c r="Q173" s="100">
        <v>0</v>
      </c>
      <c r="R173" s="100">
        <v>15870</v>
      </c>
      <c r="S173" s="100">
        <v>15870</v>
      </c>
      <c r="T173" s="96">
        <v>1</v>
      </c>
      <c r="U173" s="100">
        <v>0</v>
      </c>
      <c r="V173" s="100">
        <v>15870</v>
      </c>
      <c r="W173" s="100">
        <v>15870</v>
      </c>
      <c r="X173" s="96">
        <v>1</v>
      </c>
    </row>
    <row r="174" spans="1:24">
      <c r="A174" s="86" t="s">
        <v>56</v>
      </c>
      <c r="B174" s="90"/>
      <c r="C174" s="77" t="s">
        <v>18</v>
      </c>
      <c r="D174" s="77">
        <v>6</v>
      </c>
      <c r="E174" s="101">
        <v>480827</v>
      </c>
      <c r="F174" s="101">
        <v>697473</v>
      </c>
      <c r="G174" s="101">
        <v>1178300</v>
      </c>
      <c r="H174" s="97">
        <v>8</v>
      </c>
      <c r="I174" s="101">
        <v>0</v>
      </c>
      <c r="J174" s="101">
        <v>785473</v>
      </c>
      <c r="K174" s="101">
        <v>785473</v>
      </c>
      <c r="L174" s="97">
        <v>8</v>
      </c>
      <c r="M174" s="101">
        <v>0</v>
      </c>
      <c r="N174" s="101">
        <v>785473</v>
      </c>
      <c r="O174" s="101">
        <v>785473</v>
      </c>
      <c r="P174" s="97">
        <v>8</v>
      </c>
      <c r="Q174" s="101">
        <v>0</v>
      </c>
      <c r="R174" s="101">
        <v>785473</v>
      </c>
      <c r="S174" s="101">
        <v>785473</v>
      </c>
      <c r="T174" s="97">
        <v>8</v>
      </c>
      <c r="U174" s="101">
        <v>0</v>
      </c>
      <c r="V174" s="101">
        <v>785473</v>
      </c>
      <c r="W174" s="101">
        <v>785473</v>
      </c>
      <c r="X174" s="97">
        <v>8</v>
      </c>
    </row>
    <row r="175" spans="1:24">
      <c r="A175" s="85" t="s">
        <v>56</v>
      </c>
      <c r="B175" s="89"/>
      <c r="C175" s="76" t="s">
        <v>18</v>
      </c>
      <c r="D175" s="76">
        <v>7</v>
      </c>
      <c r="E175" s="100">
        <v>2</v>
      </c>
      <c r="F175" s="100">
        <v>4119677</v>
      </c>
      <c r="G175" s="100">
        <v>4119679</v>
      </c>
      <c r="H175" s="96">
        <v>7</v>
      </c>
      <c r="I175" s="100">
        <v>0</v>
      </c>
      <c r="J175" s="100">
        <v>8844677</v>
      </c>
      <c r="K175" s="100">
        <v>8844677</v>
      </c>
      <c r="L175" s="96">
        <v>7</v>
      </c>
      <c r="M175" s="100">
        <v>0</v>
      </c>
      <c r="N175" s="100">
        <v>8844677</v>
      </c>
      <c r="O175" s="100">
        <v>8844677</v>
      </c>
      <c r="P175" s="96">
        <v>7</v>
      </c>
      <c r="Q175" s="100">
        <v>0</v>
      </c>
      <c r="R175" s="100">
        <v>8844677</v>
      </c>
      <c r="S175" s="100">
        <v>8844677</v>
      </c>
      <c r="T175" s="96">
        <v>7</v>
      </c>
      <c r="U175" s="100">
        <v>0</v>
      </c>
      <c r="V175" s="100">
        <v>8844677</v>
      </c>
      <c r="W175" s="100">
        <v>8844677</v>
      </c>
      <c r="X175" s="96">
        <v>7</v>
      </c>
    </row>
    <row r="176" spans="1:24">
      <c r="A176" s="86" t="s">
        <v>56</v>
      </c>
      <c r="B176" s="90"/>
      <c r="C176" s="77" t="s">
        <v>18</v>
      </c>
      <c r="D176" s="77">
        <v>8</v>
      </c>
      <c r="E176" s="101">
        <v>0</v>
      </c>
      <c r="F176" s="101">
        <v>612882</v>
      </c>
      <c r="G176" s="101">
        <v>612882</v>
      </c>
      <c r="H176" s="97">
        <v>8</v>
      </c>
      <c r="I176" s="101">
        <v>0</v>
      </c>
      <c r="J176" s="101">
        <v>612882</v>
      </c>
      <c r="K176" s="101">
        <v>612882</v>
      </c>
      <c r="L176" s="97">
        <v>8</v>
      </c>
      <c r="M176" s="101">
        <v>0</v>
      </c>
      <c r="N176" s="101">
        <v>612882</v>
      </c>
      <c r="O176" s="101">
        <v>612882</v>
      </c>
      <c r="P176" s="97">
        <v>8</v>
      </c>
      <c r="Q176" s="101">
        <v>0</v>
      </c>
      <c r="R176" s="101">
        <v>612882</v>
      </c>
      <c r="S176" s="101">
        <v>612882</v>
      </c>
      <c r="T176" s="97">
        <v>8</v>
      </c>
      <c r="U176" s="101">
        <v>0</v>
      </c>
      <c r="V176" s="101">
        <v>612882</v>
      </c>
      <c r="W176" s="101">
        <v>612882</v>
      </c>
      <c r="X176" s="97">
        <v>8</v>
      </c>
    </row>
    <row r="177" spans="1:24" ht="13.5" thickBot="1">
      <c r="A177" s="87" t="s">
        <v>56</v>
      </c>
      <c r="B177" s="91"/>
      <c r="C177" s="78" t="s">
        <v>18</v>
      </c>
      <c r="D177" s="78">
        <v>9</v>
      </c>
      <c r="E177" s="102">
        <v>5600000</v>
      </c>
      <c r="F177" s="102">
        <v>0</v>
      </c>
      <c r="G177" s="102">
        <v>5600000</v>
      </c>
      <c r="H177" s="98">
        <v>2</v>
      </c>
      <c r="I177" s="102">
        <v>0</v>
      </c>
      <c r="J177" s="102">
        <v>0</v>
      </c>
      <c r="K177" s="102">
        <v>0</v>
      </c>
      <c r="L177" s="98">
        <v>2</v>
      </c>
      <c r="M177" s="102">
        <v>0</v>
      </c>
      <c r="N177" s="102">
        <v>0</v>
      </c>
      <c r="O177" s="102">
        <v>0</v>
      </c>
      <c r="P177" s="98">
        <v>2</v>
      </c>
      <c r="Q177" s="102">
        <v>0</v>
      </c>
      <c r="R177" s="102">
        <v>0</v>
      </c>
      <c r="S177" s="102">
        <v>0</v>
      </c>
      <c r="T177" s="98">
        <v>2</v>
      </c>
      <c r="U177" s="102">
        <v>0</v>
      </c>
      <c r="V177" s="102">
        <v>0</v>
      </c>
      <c r="W177" s="102">
        <v>0</v>
      </c>
      <c r="X177" s="98">
        <v>2</v>
      </c>
    </row>
  </sheetData>
  <mergeCells count="29">
    <mergeCell ref="C19:D19"/>
    <mergeCell ref="M1:P1"/>
    <mergeCell ref="M2:P2"/>
    <mergeCell ref="M3:P3"/>
    <mergeCell ref="M4:P4"/>
    <mergeCell ref="I3:L3"/>
    <mergeCell ref="I4:L4"/>
    <mergeCell ref="C5:D5"/>
    <mergeCell ref="A1:D1"/>
    <mergeCell ref="E2:H2"/>
    <mergeCell ref="C18:D18"/>
    <mergeCell ref="A2:D2"/>
    <mergeCell ref="A3:D3"/>
    <mergeCell ref="A4:D4"/>
    <mergeCell ref="A5:A6"/>
    <mergeCell ref="B5:B6"/>
    <mergeCell ref="E1:H1"/>
    <mergeCell ref="E3:H3"/>
    <mergeCell ref="E4:H4"/>
    <mergeCell ref="I1:L1"/>
    <mergeCell ref="I2:L2"/>
    <mergeCell ref="U1:X1"/>
    <mergeCell ref="U2:X2"/>
    <mergeCell ref="U3:X3"/>
    <mergeCell ref="U4:X4"/>
    <mergeCell ref="Q1:T1"/>
    <mergeCell ref="Q2:T2"/>
    <mergeCell ref="Q3:T3"/>
    <mergeCell ref="Q4:T4"/>
  </mergeCells>
  <pageMargins left="0.74803149606299213" right="0.74803149606299213" top="1.3779527559055118" bottom="0.98425196850393704" header="0" footer="0"/>
  <pageSetup paperSize="9" orientation="portrait" verticalDpi="300" r:id="rId1"/>
  <headerFooter>
    <oddHeader>&amp;L&amp;G&amp;R&amp;G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índice</vt:lpstr>
      <vt:lpstr>Definiciones</vt:lpstr>
      <vt:lpstr>Triangulos Siniestrales</vt:lpstr>
      <vt:lpstr>2024 - 2025</vt:lpstr>
      <vt:lpstr>2023 - 2024</vt:lpstr>
      <vt:lpstr>2022 - 2023</vt:lpstr>
      <vt:lpstr>2021 - 2022</vt:lpstr>
      <vt:lpstr>2020 - 2021</vt:lpstr>
      <vt:lpstr>'2020 - 2021'!Títulos_a_imprimir</vt:lpstr>
      <vt:lpstr>'2021 - 2022'!Títulos_a_imprimir</vt:lpstr>
      <vt:lpstr>'2022 - 2023'!Títulos_a_imprimir</vt:lpstr>
      <vt:lpstr>'2023 - 2024'!Títulos_a_imprimir</vt:lpstr>
      <vt:lpstr>'2024 - 2025'!Títulos_a_imprimir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Beguiristain</cp:lastModifiedBy>
  <cp:lastPrinted>2020-09-24T21:02:49Z</cp:lastPrinted>
  <dcterms:created xsi:type="dcterms:W3CDTF">2003-02-12T20:25:58Z</dcterms:created>
  <dcterms:modified xsi:type="dcterms:W3CDTF">2025-10-08T15:18:42Z</dcterms:modified>
</cp:coreProperties>
</file>